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idal\Downloads\"/>
    </mc:Choice>
  </mc:AlternateContent>
  <xr:revisionPtr revIDLastSave="0" documentId="13_ncr:1_{996991A4-C372-43D1-8FFC-B185266C55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Sup R5" sheetId="1" r:id="rId1"/>
    <sheet name="PSup R4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" l="1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5" i="3"/>
</calcChain>
</file>

<file path=xl/sharedStrings.xml><?xml version="1.0" encoding="utf-8"?>
<sst xmlns="http://schemas.openxmlformats.org/spreadsheetml/2006/main" count="185" uniqueCount="42">
  <si>
    <t>Sedimentação Paliçada Superior Ravina 5</t>
  </si>
  <si>
    <t>Sedimentação Paliçada Intermediaria Ravina 5</t>
  </si>
  <si>
    <t>Sedimentação Paliçada Inferior Ravina 5</t>
  </si>
  <si>
    <t>Precipitação</t>
  </si>
  <si>
    <t xml:space="preserve">Verg 1 </t>
  </si>
  <si>
    <t xml:space="preserve">Verg 2 </t>
  </si>
  <si>
    <t>Verg 3</t>
  </si>
  <si>
    <t>****** -- 11/06/2023</t>
  </si>
  <si>
    <t>12/06/2023   -- 11/07/2023</t>
  </si>
  <si>
    <t>12/07/2023   -- 11/08/2023</t>
  </si>
  <si>
    <t>12/08/2023   -- 11/09/2023</t>
  </si>
  <si>
    <t>12/09/2023   -- 11/10/2023</t>
  </si>
  <si>
    <t>12/10/2023   -- 11/11/2023</t>
  </si>
  <si>
    <t>12/11/2023 -- 12/12/2023</t>
  </si>
  <si>
    <t>12/12/2023   -- 15/01/2024</t>
  </si>
  <si>
    <t>16/01/2024  -- 15/02/2024</t>
  </si>
  <si>
    <t>16/02/2024   -- 15/03/2024</t>
  </si>
  <si>
    <t>16/03/2024   -- 15/04/2024</t>
  </si>
  <si>
    <t>16/04/2024   -- 16/05/2024</t>
  </si>
  <si>
    <t>17/05/2024   -- 18/06/2024</t>
  </si>
  <si>
    <t>19/06/2024   -- 18/07/2024</t>
  </si>
  <si>
    <t>19/07/2024   -- 21/08/2024</t>
  </si>
  <si>
    <t>22/08/2024   -- 21/09/2024</t>
  </si>
  <si>
    <t>22/09/2024   -- 21/10/2024</t>
  </si>
  <si>
    <t>22/10/2024   -- 22/11/2024</t>
  </si>
  <si>
    <t>23/11/2024 -- 18/12/2024</t>
  </si>
  <si>
    <t xml:space="preserve">19/12/2024   -- 21/01/2025 </t>
  </si>
  <si>
    <t>22/01/2025   -- 23/02/2025</t>
  </si>
  <si>
    <t>24/02/2025   -- 25/03/2025</t>
  </si>
  <si>
    <t>26/03/2025   -- 25/04/2025</t>
  </si>
  <si>
    <t>26/04/2025   -- 25/05/2025</t>
  </si>
  <si>
    <t>Sedimentação Paliçada Superior Ravina 4</t>
  </si>
  <si>
    <t>Sedimentação Paliçada Intermediaria Ravina 4</t>
  </si>
  <si>
    <t>Sedimentação Paliçada Inferior Ravina 4</t>
  </si>
  <si>
    <t>**** -- 11/06/2023</t>
  </si>
  <si>
    <t>SUP</t>
  </si>
  <si>
    <t>MED</t>
  </si>
  <si>
    <t>INF</t>
  </si>
  <si>
    <t>SEDMENT</t>
  </si>
  <si>
    <t>MONTH</t>
  </si>
  <si>
    <t>AREA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</si>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</sst>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7" formatCode="[$-416]mmm\-yy;@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" fillId="2" borderId="0" xfId="0" applyFont="1" applyFill="1" applyAlignment="1">
      <alignment horizontal="right"/>
    </xf>
    <xf numFmtId="0" fontId="1" fillId="0" borderId="0" xfId="0" applyFont="1"/>
    <xf numFmtId="0" fontId="0" fillId="0" borderId="0" xfId="0"/>
    <xf numFmtId="167" fontId="0" fillId="0" borderId="0" xfId="0" applyNumberFormat="1"/>
    <xf numFmtId="167" fontId="1" fillId="0" borderId="0" xfId="0" applyNumberFormat="1" applyFont="1"/>
    <xf numFmtId="0" fontId="3" fillId="0" borderId="0" xfId="0" applyFont="1"/>
    <xf numFmtId="0" fontId="4" fillId="0" borderId="0" xfId="0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R55"/>
  <sheetViews>
    <sheetView topLeftCell="A3" workbookViewId="0">
      <selection activeCell="G3" sqref="G1:G1048576"/>
    </sheetView>
  </sheetViews>
  <sheetFormatPr defaultColWidth="12.6640625" defaultRowHeight="15.75" customHeight="1" x14ac:dyDescent="0.25"/>
  <cols>
    <col min="2" max="2" width="12.6640625" style="8"/>
    <col min="7" max="7" width="12.6640625" style="8"/>
    <col min="17" max="17" width="23.21875" customWidth="1"/>
  </cols>
  <sheetData>
    <row r="2" spans="2:18" x14ac:dyDescent="0.25">
      <c r="C2" s="6" t="s">
        <v>0</v>
      </c>
      <c r="D2" s="7"/>
      <c r="E2" s="7"/>
      <c r="H2" s="6" t="s">
        <v>1</v>
      </c>
      <c r="I2" s="7"/>
      <c r="J2" s="7"/>
      <c r="M2" s="6" t="s">
        <v>2</v>
      </c>
      <c r="N2" s="7"/>
      <c r="O2" s="7"/>
      <c r="Q2" s="1" t="s">
        <v>3</v>
      </c>
    </row>
    <row r="4" spans="2:18" x14ac:dyDescent="0.25">
      <c r="C4" s="1" t="s">
        <v>4</v>
      </c>
      <c r="D4" s="1" t="s">
        <v>5</v>
      </c>
      <c r="E4" s="1" t="s">
        <v>6</v>
      </c>
      <c r="H4" s="1" t="s">
        <v>4</v>
      </c>
      <c r="I4" s="1" t="s">
        <v>5</v>
      </c>
      <c r="J4" s="1" t="s">
        <v>6</v>
      </c>
      <c r="M4" s="1" t="s">
        <v>4</v>
      </c>
      <c r="N4" s="1" t="s">
        <v>5</v>
      </c>
      <c r="O4" s="1" t="s">
        <v>6</v>
      </c>
    </row>
    <row r="5" spans="2:18" x14ac:dyDescent="0.25">
      <c r="C5" s="1"/>
      <c r="D5" s="1"/>
      <c r="E5" s="1"/>
      <c r="H5" s="1"/>
      <c r="I5" s="1"/>
      <c r="J5" s="1"/>
      <c r="M5" s="1"/>
      <c r="N5" s="1"/>
      <c r="O5" s="1"/>
    </row>
    <row r="6" spans="2:18" x14ac:dyDescent="0.25">
      <c r="B6" s="9">
        <v>45089</v>
      </c>
      <c r="C6" s="1">
        <v>0</v>
      </c>
      <c r="D6" s="1">
        <v>0</v>
      </c>
      <c r="E6" s="1">
        <v>0</v>
      </c>
      <c r="G6" s="9">
        <v>45089</v>
      </c>
      <c r="H6" s="1">
        <v>0</v>
      </c>
      <c r="I6" s="1">
        <v>0</v>
      </c>
      <c r="J6" s="1">
        <v>0</v>
      </c>
      <c r="L6" s="2">
        <v>45089</v>
      </c>
      <c r="M6" s="1">
        <v>0</v>
      </c>
      <c r="N6" s="1">
        <v>0</v>
      </c>
      <c r="O6" s="1">
        <v>0</v>
      </c>
      <c r="Q6" s="3" t="s">
        <v>7</v>
      </c>
      <c r="R6" s="1">
        <v>0</v>
      </c>
    </row>
    <row r="7" spans="2:18" x14ac:dyDescent="0.25">
      <c r="B7" s="9">
        <v>45119</v>
      </c>
      <c r="C7" s="1">
        <v>4.5</v>
      </c>
      <c r="D7" s="1">
        <v>9.1999999999999993</v>
      </c>
      <c r="E7" s="1">
        <v>6.5</v>
      </c>
      <c r="G7" s="9">
        <v>45119</v>
      </c>
      <c r="H7" s="1">
        <v>3</v>
      </c>
      <c r="I7" s="1">
        <v>3.4</v>
      </c>
      <c r="J7" s="1">
        <v>7.8</v>
      </c>
      <c r="L7" s="2">
        <v>45119</v>
      </c>
      <c r="M7" s="1">
        <v>4.5999999999999996</v>
      </c>
      <c r="N7" s="1">
        <v>12.2</v>
      </c>
      <c r="O7" s="1">
        <v>8.9</v>
      </c>
      <c r="Q7" s="1" t="s">
        <v>8</v>
      </c>
      <c r="R7" s="1">
        <v>222.6</v>
      </c>
    </row>
    <row r="8" spans="2:18" x14ac:dyDescent="0.25">
      <c r="B8" s="9">
        <v>45149</v>
      </c>
      <c r="C8" s="1">
        <v>7</v>
      </c>
      <c r="D8" s="1">
        <v>9.8000000000000007</v>
      </c>
      <c r="E8" s="1">
        <v>7</v>
      </c>
      <c r="G8" s="9">
        <v>45149</v>
      </c>
      <c r="H8" s="1">
        <v>5.5</v>
      </c>
      <c r="I8" s="1">
        <v>12.7</v>
      </c>
      <c r="J8" s="1">
        <v>13.6</v>
      </c>
      <c r="L8" s="2">
        <v>45149</v>
      </c>
      <c r="M8" s="1">
        <v>7.2</v>
      </c>
      <c r="N8" s="1">
        <v>15.6</v>
      </c>
      <c r="O8" s="1">
        <v>11.9</v>
      </c>
      <c r="Q8" s="1" t="s">
        <v>9</v>
      </c>
      <c r="R8" s="1">
        <v>116.8</v>
      </c>
    </row>
    <row r="9" spans="2:18" x14ac:dyDescent="0.25">
      <c r="B9" s="9">
        <v>45181</v>
      </c>
      <c r="C9" s="1">
        <v>7.3</v>
      </c>
      <c r="D9" s="1">
        <v>9.5</v>
      </c>
      <c r="E9" s="1">
        <v>7.6</v>
      </c>
      <c r="G9" s="9">
        <v>45181</v>
      </c>
      <c r="H9" s="1">
        <v>9</v>
      </c>
      <c r="I9" s="1">
        <v>13.7</v>
      </c>
      <c r="J9" s="1">
        <v>14.6</v>
      </c>
      <c r="L9" s="2">
        <v>45181</v>
      </c>
      <c r="M9" s="1">
        <v>11.2</v>
      </c>
      <c r="N9" s="1">
        <v>16.3</v>
      </c>
      <c r="O9" s="1">
        <v>9.4</v>
      </c>
      <c r="Q9" s="1" t="s">
        <v>10</v>
      </c>
      <c r="R9" s="1">
        <v>46.2</v>
      </c>
    </row>
    <row r="10" spans="2:18" x14ac:dyDescent="0.25">
      <c r="B10" s="9">
        <v>45210</v>
      </c>
      <c r="C10" s="1">
        <v>7</v>
      </c>
      <c r="D10" s="1">
        <v>9.8000000000000007</v>
      </c>
      <c r="E10" s="1">
        <v>7</v>
      </c>
      <c r="G10" s="9">
        <v>45210</v>
      </c>
      <c r="H10" s="1">
        <v>9</v>
      </c>
      <c r="I10" s="1">
        <v>13.7</v>
      </c>
      <c r="J10" s="1">
        <v>14.6</v>
      </c>
      <c r="L10" s="4">
        <v>45210</v>
      </c>
      <c r="M10" s="1">
        <v>10.7</v>
      </c>
      <c r="N10" s="1">
        <v>15.1</v>
      </c>
      <c r="O10" s="1">
        <v>10.9</v>
      </c>
      <c r="Q10" s="1" t="s">
        <v>11</v>
      </c>
      <c r="R10" s="1">
        <v>36.4</v>
      </c>
    </row>
    <row r="11" spans="2:18" x14ac:dyDescent="0.25">
      <c r="B11" s="9">
        <v>45243</v>
      </c>
      <c r="C11" s="1">
        <v>7.5</v>
      </c>
      <c r="D11" s="1">
        <v>10.3</v>
      </c>
      <c r="E11" s="1">
        <v>7.5</v>
      </c>
      <c r="G11" s="9">
        <v>45243</v>
      </c>
      <c r="H11" s="1">
        <v>11.5</v>
      </c>
      <c r="I11" s="1">
        <v>14.2</v>
      </c>
      <c r="J11" s="1">
        <v>13.1</v>
      </c>
      <c r="L11" s="4">
        <v>45243</v>
      </c>
      <c r="M11" s="1">
        <v>11.2</v>
      </c>
      <c r="N11" s="1">
        <v>15.6</v>
      </c>
      <c r="O11" s="1">
        <v>12.4</v>
      </c>
      <c r="Q11" s="1" t="s">
        <v>12</v>
      </c>
      <c r="R11" s="1">
        <v>0</v>
      </c>
    </row>
    <row r="12" spans="2:18" x14ac:dyDescent="0.25">
      <c r="B12" s="9">
        <v>45272</v>
      </c>
      <c r="C12" s="1">
        <v>7.3</v>
      </c>
      <c r="D12" s="1">
        <v>11.3</v>
      </c>
      <c r="E12" s="1">
        <v>7.5</v>
      </c>
      <c r="G12" s="9">
        <v>45272</v>
      </c>
      <c r="H12" s="1">
        <v>11.5</v>
      </c>
      <c r="I12" s="1">
        <v>14.7</v>
      </c>
      <c r="J12" s="1">
        <v>14.6</v>
      </c>
      <c r="L12" s="4">
        <v>45272</v>
      </c>
      <c r="M12" s="1">
        <v>11.7</v>
      </c>
      <c r="N12" s="1">
        <v>16.5</v>
      </c>
      <c r="O12" s="1">
        <v>12.9</v>
      </c>
      <c r="Q12" s="1" t="s">
        <v>13</v>
      </c>
      <c r="R12" s="1">
        <v>21.8</v>
      </c>
    </row>
    <row r="13" spans="2:18" x14ac:dyDescent="0.25">
      <c r="B13" s="9">
        <v>45306</v>
      </c>
      <c r="C13" s="1">
        <v>9</v>
      </c>
      <c r="D13" s="1">
        <v>13.8</v>
      </c>
      <c r="E13" s="1">
        <v>11.5</v>
      </c>
      <c r="G13" s="9">
        <v>45306</v>
      </c>
      <c r="H13" s="1">
        <v>15.5</v>
      </c>
      <c r="I13" s="1">
        <v>18.7</v>
      </c>
      <c r="J13" s="1">
        <v>18.600000000000001</v>
      </c>
      <c r="L13" s="2">
        <v>45306</v>
      </c>
      <c r="M13" s="1">
        <v>14.7</v>
      </c>
      <c r="N13" s="1">
        <v>18.100000000000001</v>
      </c>
      <c r="O13" s="1">
        <v>14.4</v>
      </c>
      <c r="Q13" s="1" t="s">
        <v>14</v>
      </c>
      <c r="R13" s="1">
        <v>60.4</v>
      </c>
    </row>
    <row r="14" spans="2:18" x14ac:dyDescent="0.25">
      <c r="B14" s="9">
        <v>45337</v>
      </c>
      <c r="C14" s="1">
        <v>12.8</v>
      </c>
      <c r="D14" s="1">
        <v>14.6</v>
      </c>
      <c r="E14" s="1">
        <v>13</v>
      </c>
      <c r="G14" s="9">
        <v>45337</v>
      </c>
      <c r="H14" s="1">
        <v>16</v>
      </c>
      <c r="I14" s="1">
        <v>19.2</v>
      </c>
      <c r="J14" s="1">
        <v>19.899999999999999</v>
      </c>
      <c r="L14" s="2">
        <v>45337</v>
      </c>
      <c r="M14" s="1">
        <v>14.2</v>
      </c>
      <c r="N14" s="1">
        <v>20.100000000000001</v>
      </c>
      <c r="O14" s="1">
        <v>15.7</v>
      </c>
      <c r="Q14" s="1" t="s">
        <v>15</v>
      </c>
      <c r="R14" s="1">
        <v>37.200000000000003</v>
      </c>
    </row>
    <row r="15" spans="2:18" x14ac:dyDescent="0.25">
      <c r="B15" s="9">
        <v>45366</v>
      </c>
      <c r="C15" s="1">
        <v>21</v>
      </c>
      <c r="D15" s="1">
        <v>24.8</v>
      </c>
      <c r="E15" s="1">
        <v>19</v>
      </c>
      <c r="G15" s="9">
        <v>45366</v>
      </c>
      <c r="H15" s="1">
        <v>31.5</v>
      </c>
      <c r="I15" s="1">
        <v>37.700000000000003</v>
      </c>
      <c r="J15" s="1">
        <v>33.6</v>
      </c>
      <c r="L15" s="2">
        <v>45366</v>
      </c>
      <c r="M15" s="1">
        <v>19.2</v>
      </c>
      <c r="N15" s="1">
        <v>30.1</v>
      </c>
      <c r="O15" s="1">
        <v>25.9</v>
      </c>
      <c r="Q15" s="1" t="s">
        <v>16</v>
      </c>
      <c r="R15" s="1">
        <v>162.19999999999999</v>
      </c>
    </row>
    <row r="16" spans="2:18" x14ac:dyDescent="0.25">
      <c r="B16" s="9">
        <v>45397</v>
      </c>
      <c r="C16" s="1">
        <v>19.5</v>
      </c>
      <c r="D16" s="1">
        <v>23.8</v>
      </c>
      <c r="E16" s="1">
        <v>19</v>
      </c>
      <c r="G16" s="9">
        <v>45397</v>
      </c>
      <c r="H16" s="1">
        <v>37.5</v>
      </c>
      <c r="I16" s="1">
        <v>37.700000000000003</v>
      </c>
      <c r="J16" s="1">
        <v>35.200000000000003</v>
      </c>
      <c r="L16" s="2">
        <v>45397</v>
      </c>
      <c r="M16" s="1">
        <v>19.7</v>
      </c>
      <c r="N16" s="1">
        <v>30.9</v>
      </c>
      <c r="O16" s="1">
        <v>26.3</v>
      </c>
      <c r="Q16" s="1" t="s">
        <v>17</v>
      </c>
      <c r="R16" s="1">
        <v>156</v>
      </c>
    </row>
    <row r="17" spans="2:18" x14ac:dyDescent="0.25">
      <c r="B17" s="9">
        <v>45428</v>
      </c>
      <c r="C17" s="1">
        <v>21.5</v>
      </c>
      <c r="D17" s="1">
        <v>27.8</v>
      </c>
      <c r="E17" s="1">
        <v>24</v>
      </c>
      <c r="G17" s="9">
        <v>45428</v>
      </c>
      <c r="H17" s="1">
        <v>37.700000000000003</v>
      </c>
      <c r="I17" s="1">
        <v>38.200000000000003</v>
      </c>
      <c r="J17" s="1">
        <v>39.1</v>
      </c>
      <c r="L17" s="2">
        <v>45428</v>
      </c>
      <c r="M17" s="1">
        <v>21.6</v>
      </c>
      <c r="N17" s="1">
        <v>32.700000000000003</v>
      </c>
      <c r="O17" s="1">
        <v>27.1</v>
      </c>
      <c r="Q17" s="1" t="s">
        <v>18</v>
      </c>
      <c r="R17" s="1">
        <v>396.8</v>
      </c>
    </row>
    <row r="18" spans="2:18" x14ac:dyDescent="0.25">
      <c r="B18" s="9">
        <v>45461</v>
      </c>
      <c r="C18" s="1">
        <v>22.1</v>
      </c>
      <c r="D18" s="1">
        <v>27.7</v>
      </c>
      <c r="E18" s="1">
        <v>24.4</v>
      </c>
      <c r="G18" s="9">
        <v>45461</v>
      </c>
      <c r="H18" s="1">
        <v>38</v>
      </c>
      <c r="I18" s="1">
        <v>40.700000000000003</v>
      </c>
      <c r="J18" s="1">
        <v>39.700000000000003</v>
      </c>
      <c r="L18" s="2">
        <v>45461</v>
      </c>
      <c r="M18" s="1">
        <v>21.6</v>
      </c>
      <c r="N18" s="1">
        <v>35</v>
      </c>
      <c r="O18" s="1">
        <v>36.5</v>
      </c>
      <c r="Q18" s="1" t="s">
        <v>19</v>
      </c>
      <c r="R18" s="1">
        <v>341.2</v>
      </c>
    </row>
    <row r="19" spans="2:18" x14ac:dyDescent="0.25">
      <c r="B19" s="9">
        <v>45491</v>
      </c>
      <c r="C19" s="1">
        <v>22</v>
      </c>
      <c r="D19" s="1">
        <v>27.6</v>
      </c>
      <c r="E19" s="1">
        <v>24</v>
      </c>
      <c r="G19" s="9">
        <v>45491</v>
      </c>
      <c r="H19" s="1">
        <v>39</v>
      </c>
      <c r="I19" s="1">
        <v>40.700000000000003</v>
      </c>
      <c r="J19" s="1">
        <v>40.1</v>
      </c>
      <c r="L19" s="2">
        <v>45491</v>
      </c>
      <c r="M19" s="1">
        <v>22.2</v>
      </c>
      <c r="N19" s="1">
        <v>35.700000000000003</v>
      </c>
      <c r="O19" s="1">
        <v>35.9</v>
      </c>
      <c r="Q19" s="1" t="s">
        <v>20</v>
      </c>
      <c r="R19" s="1">
        <v>149.6</v>
      </c>
    </row>
    <row r="20" spans="2:18" x14ac:dyDescent="0.25">
      <c r="B20" s="9">
        <v>45525</v>
      </c>
      <c r="C20" s="1">
        <v>23</v>
      </c>
      <c r="D20" s="1">
        <v>27.6</v>
      </c>
      <c r="E20" s="1">
        <v>23.9</v>
      </c>
      <c r="G20" s="9">
        <v>45525</v>
      </c>
      <c r="H20" s="1">
        <v>39</v>
      </c>
      <c r="I20" s="1">
        <v>40.700000000000003</v>
      </c>
      <c r="J20" s="1">
        <v>40.1</v>
      </c>
      <c r="L20" s="2">
        <v>45525</v>
      </c>
      <c r="M20" s="1">
        <v>22.2</v>
      </c>
      <c r="N20" s="1">
        <v>35.6</v>
      </c>
      <c r="O20" s="1">
        <v>35.4</v>
      </c>
      <c r="Q20" s="1" t="s">
        <v>21</v>
      </c>
      <c r="R20" s="1">
        <v>95.8</v>
      </c>
    </row>
    <row r="21" spans="2:18" x14ac:dyDescent="0.25">
      <c r="B21" s="9">
        <v>45556</v>
      </c>
      <c r="C21" s="1">
        <v>22.5</v>
      </c>
      <c r="D21" s="1">
        <v>26.8</v>
      </c>
      <c r="E21" s="1">
        <v>24</v>
      </c>
      <c r="G21" s="9">
        <v>45556</v>
      </c>
      <c r="H21" s="1">
        <v>39.5</v>
      </c>
      <c r="I21" s="1">
        <v>40.700000000000003</v>
      </c>
      <c r="J21" s="1">
        <v>40.1</v>
      </c>
      <c r="L21" s="2">
        <v>45556</v>
      </c>
      <c r="M21" s="1">
        <v>22.2</v>
      </c>
      <c r="N21" s="1">
        <v>36.1</v>
      </c>
      <c r="O21" s="1">
        <v>35.4</v>
      </c>
      <c r="Q21" s="1" t="s">
        <v>22</v>
      </c>
      <c r="R21" s="1">
        <v>5.8</v>
      </c>
    </row>
    <row r="22" spans="2:18" x14ac:dyDescent="0.25">
      <c r="B22" s="9">
        <v>45586</v>
      </c>
      <c r="C22" s="1">
        <v>22.1</v>
      </c>
      <c r="D22" s="1">
        <v>26.9</v>
      </c>
      <c r="E22" s="1">
        <v>23.9</v>
      </c>
      <c r="G22" s="9">
        <v>45586</v>
      </c>
      <c r="H22" s="1">
        <v>39.799999999999997</v>
      </c>
      <c r="I22" s="1">
        <v>40.5</v>
      </c>
      <c r="J22" s="1">
        <v>39.700000000000003</v>
      </c>
      <c r="L22" s="4">
        <v>45586</v>
      </c>
      <c r="M22" s="1">
        <v>22.2</v>
      </c>
      <c r="N22" s="1">
        <v>35.700000000000003</v>
      </c>
      <c r="O22" s="1">
        <v>36.6</v>
      </c>
      <c r="Q22" s="1" t="s">
        <v>23</v>
      </c>
      <c r="R22" s="1">
        <v>19</v>
      </c>
    </row>
    <row r="23" spans="2:18" x14ac:dyDescent="0.25">
      <c r="B23" s="9">
        <v>45618</v>
      </c>
      <c r="C23" s="1">
        <v>22.4</v>
      </c>
      <c r="D23" s="1">
        <v>27</v>
      </c>
      <c r="E23" s="1">
        <v>24</v>
      </c>
      <c r="G23" s="9">
        <v>45618</v>
      </c>
      <c r="H23" s="1">
        <v>40.4</v>
      </c>
      <c r="I23" s="1">
        <v>41.1</v>
      </c>
      <c r="J23" s="1">
        <v>40.299999999999997</v>
      </c>
      <c r="L23" s="4">
        <v>45618</v>
      </c>
      <c r="M23" s="1">
        <v>22.6</v>
      </c>
      <c r="N23" s="1">
        <v>35.6</v>
      </c>
      <c r="O23" s="1">
        <v>37.700000000000003</v>
      </c>
      <c r="Q23" s="1" t="s">
        <v>24</v>
      </c>
      <c r="R23" s="1">
        <v>11.8</v>
      </c>
    </row>
    <row r="24" spans="2:18" x14ac:dyDescent="0.25">
      <c r="B24" s="9">
        <v>45644</v>
      </c>
      <c r="C24" s="1">
        <v>22.5</v>
      </c>
      <c r="D24" s="1">
        <v>26.8</v>
      </c>
      <c r="E24" s="1">
        <v>23.9</v>
      </c>
      <c r="G24" s="9">
        <v>45644</v>
      </c>
      <c r="H24" s="1">
        <v>40.4</v>
      </c>
      <c r="I24" s="1">
        <v>40.9</v>
      </c>
      <c r="J24" s="1">
        <v>40.200000000000003</v>
      </c>
      <c r="L24" s="4">
        <v>45644</v>
      </c>
      <c r="M24" s="1">
        <v>22.2</v>
      </c>
      <c r="N24" s="1">
        <v>35.6</v>
      </c>
      <c r="O24" s="1">
        <v>37.4</v>
      </c>
      <c r="Q24" s="1" t="s">
        <v>25</v>
      </c>
      <c r="R24" s="1">
        <v>13.8</v>
      </c>
    </row>
    <row r="25" spans="2:18" x14ac:dyDescent="0.25">
      <c r="B25" s="9">
        <v>45678</v>
      </c>
      <c r="C25" s="1">
        <v>25.5</v>
      </c>
      <c r="D25" s="1">
        <v>26.8</v>
      </c>
      <c r="E25" s="1">
        <v>23.9</v>
      </c>
      <c r="G25" s="9">
        <v>45678</v>
      </c>
      <c r="H25" s="1">
        <v>45.3</v>
      </c>
      <c r="I25" s="1">
        <v>43.2</v>
      </c>
      <c r="J25" s="1">
        <v>44.1</v>
      </c>
      <c r="L25" s="2">
        <v>45678</v>
      </c>
      <c r="M25" s="1">
        <v>22.4</v>
      </c>
      <c r="N25" s="1">
        <v>35.799999999999997</v>
      </c>
      <c r="O25" s="1">
        <v>37.6</v>
      </c>
      <c r="Q25" s="1" t="s">
        <v>26</v>
      </c>
      <c r="R25" s="1">
        <v>80</v>
      </c>
    </row>
    <row r="26" spans="2:18" x14ac:dyDescent="0.25">
      <c r="B26" s="9">
        <v>45711</v>
      </c>
      <c r="C26" s="1">
        <v>27.5</v>
      </c>
      <c r="D26" s="1">
        <v>27.8</v>
      </c>
      <c r="E26" s="1">
        <v>24.1</v>
      </c>
      <c r="G26" s="9">
        <v>45711</v>
      </c>
      <c r="H26" s="1">
        <v>46</v>
      </c>
      <c r="I26" s="1">
        <v>46.3</v>
      </c>
      <c r="J26" s="1">
        <v>44.9</v>
      </c>
      <c r="L26" s="2">
        <v>45711</v>
      </c>
      <c r="M26" s="1">
        <v>23.3</v>
      </c>
      <c r="N26" s="1">
        <v>36.5</v>
      </c>
      <c r="O26" s="1">
        <v>38</v>
      </c>
      <c r="Q26" s="1" t="s">
        <v>27</v>
      </c>
      <c r="R26" s="1">
        <v>34</v>
      </c>
    </row>
    <row r="27" spans="2:18" x14ac:dyDescent="0.25">
      <c r="B27" s="9">
        <v>45741</v>
      </c>
      <c r="C27" s="1">
        <v>31.5</v>
      </c>
      <c r="D27" s="1">
        <v>30.8</v>
      </c>
      <c r="E27" s="1">
        <v>24.5</v>
      </c>
      <c r="G27" s="9">
        <v>45741</v>
      </c>
      <c r="H27" s="1">
        <v>49.2</v>
      </c>
      <c r="I27" s="1">
        <v>49.5</v>
      </c>
      <c r="J27" s="1">
        <v>46.6</v>
      </c>
      <c r="L27" s="2">
        <v>45741</v>
      </c>
      <c r="M27" s="1">
        <v>25.2</v>
      </c>
      <c r="N27" s="1">
        <v>37.6</v>
      </c>
      <c r="O27" s="1">
        <v>38.799999999999997</v>
      </c>
      <c r="Q27" s="1" t="s">
        <v>28</v>
      </c>
      <c r="R27" s="1">
        <v>89.4</v>
      </c>
    </row>
    <row r="28" spans="2:18" x14ac:dyDescent="0.25">
      <c r="B28" s="9">
        <v>45772</v>
      </c>
      <c r="C28" s="1">
        <v>33.5</v>
      </c>
      <c r="D28" s="1">
        <v>33.799999999999997</v>
      </c>
      <c r="E28" s="1">
        <v>27.8</v>
      </c>
      <c r="G28" s="9">
        <v>45772</v>
      </c>
      <c r="H28" s="1">
        <v>50.2</v>
      </c>
      <c r="I28" s="1">
        <v>51.3</v>
      </c>
      <c r="J28" s="1">
        <v>51.5</v>
      </c>
      <c r="L28" s="2">
        <v>45772</v>
      </c>
      <c r="M28" s="1">
        <v>27.9</v>
      </c>
      <c r="N28" s="1">
        <v>40.5</v>
      </c>
      <c r="O28" s="1">
        <v>40.299999999999997</v>
      </c>
      <c r="Q28" s="1" t="s">
        <v>29</v>
      </c>
      <c r="R28" s="1">
        <v>112</v>
      </c>
    </row>
    <row r="29" spans="2:18" x14ac:dyDescent="0.25">
      <c r="B29" s="9">
        <v>45802</v>
      </c>
      <c r="C29" s="1">
        <v>36.5</v>
      </c>
      <c r="D29" s="1">
        <v>37.799999999999997</v>
      </c>
      <c r="E29" s="1">
        <v>29.5</v>
      </c>
      <c r="G29" s="9">
        <v>45802</v>
      </c>
      <c r="H29" s="1">
        <v>52.2</v>
      </c>
      <c r="I29" s="1">
        <v>52</v>
      </c>
      <c r="J29" s="1">
        <v>54.1</v>
      </c>
      <c r="L29" s="2">
        <v>45802</v>
      </c>
      <c r="M29" s="1">
        <v>33.1</v>
      </c>
      <c r="N29" s="1">
        <v>48.6</v>
      </c>
      <c r="O29" s="1">
        <v>46.8</v>
      </c>
      <c r="Q29" s="1" t="s">
        <v>30</v>
      </c>
      <c r="R29" s="1">
        <v>359</v>
      </c>
    </row>
    <row r="32" spans="2:18" x14ac:dyDescent="0.25">
      <c r="L32" s="2"/>
    </row>
    <row r="33" spans="12:12" x14ac:dyDescent="0.25">
      <c r="L33" s="2"/>
    </row>
    <row r="34" spans="12:12" x14ac:dyDescent="0.25">
      <c r="L34" s="2"/>
    </row>
    <row r="35" spans="12:12" x14ac:dyDescent="0.25">
      <c r="L35" s="2"/>
    </row>
    <row r="36" spans="12:12" x14ac:dyDescent="0.25">
      <c r="L36" s="4"/>
    </row>
    <row r="37" spans="12:12" x14ac:dyDescent="0.25">
      <c r="L37" s="4"/>
    </row>
    <row r="38" spans="12:12" x14ac:dyDescent="0.25">
      <c r="L38" s="4"/>
    </row>
    <row r="39" spans="12:12" x14ac:dyDescent="0.25">
      <c r="L39" s="2"/>
    </row>
    <row r="40" spans="12:12" x14ac:dyDescent="0.25">
      <c r="L40" s="2"/>
    </row>
    <row r="41" spans="12:12" x14ac:dyDescent="0.25">
      <c r="L41" s="2"/>
    </row>
    <row r="42" spans="12:12" x14ac:dyDescent="0.25">
      <c r="L42" s="2"/>
    </row>
    <row r="43" spans="12:12" x14ac:dyDescent="0.25">
      <c r="L43" s="2"/>
    </row>
    <row r="44" spans="12:12" x14ac:dyDescent="0.25">
      <c r="L44" s="2"/>
    </row>
    <row r="45" spans="12:12" x14ac:dyDescent="0.25">
      <c r="L45" s="2"/>
    </row>
    <row r="46" spans="12:12" x14ac:dyDescent="0.25">
      <c r="L46" s="2"/>
    </row>
    <row r="47" spans="12:12" x14ac:dyDescent="0.25">
      <c r="L47" s="2"/>
    </row>
    <row r="48" spans="12:12" x14ac:dyDescent="0.25">
      <c r="L48" s="4"/>
    </row>
    <row r="49" spans="12:12" x14ac:dyDescent="0.25">
      <c r="L49" s="4"/>
    </row>
    <row r="50" spans="12:12" x14ac:dyDescent="0.25">
      <c r="L50" s="4"/>
    </row>
    <row r="51" spans="12:12" x14ac:dyDescent="0.25">
      <c r="L51" s="2"/>
    </row>
    <row r="52" spans="12:12" x14ac:dyDescent="0.25">
      <c r="L52" s="2"/>
    </row>
    <row r="53" spans="12:12" x14ac:dyDescent="0.25">
      <c r="L53" s="2"/>
    </row>
    <row r="54" spans="12:12" x14ac:dyDescent="0.25">
      <c r="L54" s="2"/>
    </row>
    <row r="55" spans="12:12" x14ac:dyDescent="0.25">
      <c r="L55" s="2"/>
    </row>
  </sheetData>
  <mergeCells count="3">
    <mergeCell ref="C2:E2"/>
    <mergeCell ref="H2:J2"/>
    <mergeCell ref="M2:O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R28"/>
  <sheetViews>
    <sheetView workbookViewId="0">
      <selection sqref="A1:XFD1048576"/>
    </sheetView>
  </sheetViews>
  <sheetFormatPr defaultColWidth="12.6640625" defaultRowHeight="15.75" customHeight="1" x14ac:dyDescent="0.25"/>
  <cols>
    <col min="2" max="2" width="12.6640625" style="8"/>
    <col min="7" max="7" width="12.6640625" style="8"/>
    <col min="17" max="17" width="25.21875" customWidth="1"/>
  </cols>
  <sheetData>
    <row r="1" spans="2:18" x14ac:dyDescent="0.25">
      <c r="C1" s="6" t="s">
        <v>31</v>
      </c>
      <c r="D1" s="7"/>
      <c r="E1" s="7"/>
      <c r="H1" s="6" t="s">
        <v>32</v>
      </c>
      <c r="I1" s="7"/>
      <c r="J1" s="7"/>
      <c r="M1" s="6" t="s">
        <v>33</v>
      </c>
      <c r="N1" s="7"/>
      <c r="O1" s="7"/>
    </row>
    <row r="3" spans="2:18" x14ac:dyDescent="0.25">
      <c r="C3" s="1" t="s">
        <v>4</v>
      </c>
      <c r="D3" s="1" t="s">
        <v>5</v>
      </c>
      <c r="E3" s="1" t="s">
        <v>6</v>
      </c>
      <c r="H3" s="1" t="s">
        <v>4</v>
      </c>
      <c r="I3" s="1" t="s">
        <v>5</v>
      </c>
      <c r="J3" s="1" t="s">
        <v>6</v>
      </c>
      <c r="M3" s="1" t="s">
        <v>4</v>
      </c>
      <c r="N3" s="1" t="s">
        <v>5</v>
      </c>
      <c r="O3" s="1" t="s">
        <v>6</v>
      </c>
      <c r="Q3" s="3" t="s">
        <v>34</v>
      </c>
      <c r="R3" s="1">
        <v>0</v>
      </c>
    </row>
    <row r="4" spans="2:18" x14ac:dyDescent="0.25">
      <c r="C4" s="1"/>
      <c r="D4" s="1"/>
      <c r="E4" s="1"/>
      <c r="H4" s="1"/>
      <c r="I4" s="1"/>
      <c r="J4" s="1"/>
      <c r="M4" s="1"/>
      <c r="N4" s="1"/>
      <c r="O4" s="1"/>
      <c r="Q4" s="1" t="s">
        <v>8</v>
      </c>
      <c r="R4" s="1">
        <v>222.6</v>
      </c>
    </row>
    <row r="5" spans="2:18" x14ac:dyDescent="0.25">
      <c r="B5" s="9">
        <v>45089</v>
      </c>
      <c r="C5" s="1">
        <v>0</v>
      </c>
      <c r="D5" s="1">
        <v>0</v>
      </c>
      <c r="E5" s="1">
        <v>0</v>
      </c>
      <c r="G5" s="9">
        <v>45089</v>
      </c>
      <c r="H5" s="1">
        <v>0</v>
      </c>
      <c r="I5" s="1">
        <v>0</v>
      </c>
      <c r="J5" s="1">
        <v>0</v>
      </c>
      <c r="L5" s="2">
        <v>45089</v>
      </c>
      <c r="M5" s="1">
        <v>0</v>
      </c>
      <c r="N5" s="1">
        <v>0</v>
      </c>
      <c r="O5" s="1">
        <v>0</v>
      </c>
      <c r="Q5" s="1" t="s">
        <v>9</v>
      </c>
      <c r="R5" s="1">
        <v>116.8</v>
      </c>
    </row>
    <row r="6" spans="2:18" x14ac:dyDescent="0.25">
      <c r="B6" s="9">
        <v>45119</v>
      </c>
      <c r="C6" s="1">
        <v>5</v>
      </c>
      <c r="D6" s="1">
        <v>6.5</v>
      </c>
      <c r="E6" s="1">
        <v>6</v>
      </c>
      <c r="G6" s="9">
        <v>45119</v>
      </c>
      <c r="H6" s="1">
        <v>8</v>
      </c>
      <c r="I6" s="1">
        <v>7.5</v>
      </c>
      <c r="J6" s="1">
        <v>5.6</v>
      </c>
      <c r="L6" s="2">
        <v>45119</v>
      </c>
      <c r="M6" s="1">
        <v>10.7</v>
      </c>
      <c r="N6" s="1">
        <v>11.5</v>
      </c>
      <c r="O6" s="1">
        <v>8.9</v>
      </c>
      <c r="Q6" s="1" t="s">
        <v>10</v>
      </c>
      <c r="R6" s="1">
        <v>46.2</v>
      </c>
    </row>
    <row r="7" spans="2:18" x14ac:dyDescent="0.25">
      <c r="B7" s="9">
        <v>45149</v>
      </c>
      <c r="C7" s="1">
        <v>7</v>
      </c>
      <c r="D7" s="1">
        <v>7</v>
      </c>
      <c r="E7" s="1">
        <v>7.5</v>
      </c>
      <c r="G7" s="9">
        <v>45149</v>
      </c>
      <c r="H7" s="1">
        <v>14.5</v>
      </c>
      <c r="I7" s="1">
        <v>11</v>
      </c>
      <c r="J7" s="1">
        <v>11.6</v>
      </c>
      <c r="L7" s="2">
        <v>45149</v>
      </c>
      <c r="M7" s="1">
        <v>15.4</v>
      </c>
      <c r="N7" s="1">
        <v>15.9</v>
      </c>
      <c r="O7" s="1">
        <v>13.2</v>
      </c>
      <c r="Q7" s="1" t="s">
        <v>11</v>
      </c>
      <c r="R7" s="1">
        <v>36.4</v>
      </c>
    </row>
    <row r="8" spans="2:18" x14ac:dyDescent="0.25">
      <c r="B8" s="9">
        <v>45181</v>
      </c>
      <c r="C8" s="1">
        <v>7.5</v>
      </c>
      <c r="D8" s="1">
        <v>8</v>
      </c>
      <c r="E8" s="1">
        <v>7.7</v>
      </c>
      <c r="G8" s="9">
        <v>45181</v>
      </c>
      <c r="H8" s="1">
        <v>15</v>
      </c>
      <c r="I8" s="1">
        <v>12.5</v>
      </c>
      <c r="J8" s="1">
        <v>12.1</v>
      </c>
      <c r="L8" s="2">
        <v>45181</v>
      </c>
      <c r="M8" s="1">
        <v>15.6</v>
      </c>
      <c r="N8" s="1">
        <v>16.600000000000001</v>
      </c>
      <c r="O8" s="1">
        <v>12.2</v>
      </c>
      <c r="Q8" s="1" t="s">
        <v>12</v>
      </c>
      <c r="R8" s="1">
        <v>0</v>
      </c>
    </row>
    <row r="9" spans="2:18" x14ac:dyDescent="0.25">
      <c r="B9" s="9">
        <v>45210</v>
      </c>
      <c r="C9" s="1">
        <v>7.5</v>
      </c>
      <c r="D9" s="1">
        <v>7.5</v>
      </c>
      <c r="E9" s="1">
        <v>8.5</v>
      </c>
      <c r="G9" s="9">
        <v>45210</v>
      </c>
      <c r="H9" s="1">
        <v>15.5</v>
      </c>
      <c r="I9" s="1">
        <v>12.5</v>
      </c>
      <c r="J9" s="1">
        <v>12.1</v>
      </c>
      <c r="L9" s="4">
        <v>45210</v>
      </c>
      <c r="M9" s="1">
        <v>15.4</v>
      </c>
      <c r="N9" s="1">
        <v>16.899999999999999</v>
      </c>
      <c r="O9" s="1">
        <v>12.2</v>
      </c>
      <c r="Q9" s="1" t="s">
        <v>13</v>
      </c>
      <c r="R9" s="1">
        <v>21.8</v>
      </c>
    </row>
    <row r="10" spans="2:18" x14ac:dyDescent="0.25">
      <c r="B10" s="9">
        <v>45243</v>
      </c>
      <c r="C10" s="1">
        <v>9</v>
      </c>
      <c r="D10" s="1">
        <v>8.5</v>
      </c>
      <c r="E10" s="1">
        <v>8.5</v>
      </c>
      <c r="G10" s="9">
        <v>45243</v>
      </c>
      <c r="H10" s="1">
        <v>14.5</v>
      </c>
      <c r="I10" s="1">
        <v>12</v>
      </c>
      <c r="J10" s="1">
        <v>11.6</v>
      </c>
      <c r="L10" s="4">
        <v>45243</v>
      </c>
      <c r="M10" s="1">
        <v>15.4</v>
      </c>
      <c r="N10" s="1">
        <v>15.9</v>
      </c>
      <c r="O10" s="1">
        <v>11.7</v>
      </c>
      <c r="Q10" s="1" t="s">
        <v>14</v>
      </c>
      <c r="R10" s="1">
        <v>60.4</v>
      </c>
    </row>
    <row r="11" spans="2:18" x14ac:dyDescent="0.25">
      <c r="B11" s="9">
        <v>45272</v>
      </c>
      <c r="C11" s="1">
        <v>8</v>
      </c>
      <c r="D11" s="1">
        <v>8.5</v>
      </c>
      <c r="E11" s="1">
        <v>8.9</v>
      </c>
      <c r="G11" s="9">
        <v>45272</v>
      </c>
      <c r="H11" s="1">
        <v>15.5</v>
      </c>
      <c r="I11" s="1">
        <v>13</v>
      </c>
      <c r="J11" s="1">
        <v>12.6</v>
      </c>
      <c r="L11" s="4">
        <v>45272</v>
      </c>
      <c r="M11" s="1">
        <v>15.8</v>
      </c>
      <c r="N11" s="1">
        <v>16.7</v>
      </c>
      <c r="O11" s="1">
        <v>12.2</v>
      </c>
      <c r="Q11" s="1" t="s">
        <v>15</v>
      </c>
      <c r="R11" s="1">
        <v>37.200000000000003</v>
      </c>
    </row>
    <row r="12" spans="2:18" x14ac:dyDescent="0.25">
      <c r="B12" s="9">
        <v>45306</v>
      </c>
      <c r="C12" s="1">
        <v>9.5</v>
      </c>
      <c r="D12" s="1">
        <v>10.5</v>
      </c>
      <c r="E12" s="1">
        <v>12.5</v>
      </c>
      <c r="G12" s="9">
        <v>45306</v>
      </c>
      <c r="H12" s="1">
        <v>17</v>
      </c>
      <c r="I12" s="1">
        <v>14</v>
      </c>
      <c r="J12" s="1">
        <v>14.8</v>
      </c>
      <c r="L12" s="2">
        <v>45306</v>
      </c>
      <c r="M12" s="1">
        <v>22.4</v>
      </c>
      <c r="N12" s="1">
        <v>18.399999999999999</v>
      </c>
      <c r="O12" s="1">
        <v>14.2</v>
      </c>
      <c r="Q12" s="1" t="s">
        <v>16</v>
      </c>
      <c r="R12" s="1">
        <v>162.19999999999999</v>
      </c>
    </row>
    <row r="13" spans="2:18" x14ac:dyDescent="0.25">
      <c r="B13" s="9">
        <v>45337</v>
      </c>
      <c r="C13" s="1">
        <v>14.7</v>
      </c>
      <c r="D13" s="1">
        <v>15</v>
      </c>
      <c r="E13" s="1">
        <v>14.5</v>
      </c>
      <c r="G13" s="9">
        <v>45337</v>
      </c>
      <c r="H13" s="1">
        <v>14.4</v>
      </c>
      <c r="I13" s="1">
        <v>14</v>
      </c>
      <c r="J13" s="1">
        <v>16.600000000000001</v>
      </c>
      <c r="L13" s="2">
        <v>45337</v>
      </c>
      <c r="M13" s="1">
        <v>25.4</v>
      </c>
      <c r="N13" s="1">
        <v>24.9</v>
      </c>
      <c r="O13" s="1">
        <v>18.2</v>
      </c>
      <c r="Q13" s="1" t="s">
        <v>17</v>
      </c>
      <c r="R13" s="1">
        <v>156</v>
      </c>
    </row>
    <row r="14" spans="2:18" x14ac:dyDescent="0.25">
      <c r="B14" s="9">
        <v>45366</v>
      </c>
      <c r="C14" s="1">
        <v>36</v>
      </c>
      <c r="D14" s="1">
        <v>38.5</v>
      </c>
      <c r="E14" s="1">
        <v>33.5</v>
      </c>
      <c r="G14" s="9">
        <v>45366</v>
      </c>
      <c r="H14" s="1">
        <v>15</v>
      </c>
      <c r="I14" s="1">
        <v>14</v>
      </c>
      <c r="J14" s="1">
        <v>15.6</v>
      </c>
      <c r="L14" s="2">
        <v>45366</v>
      </c>
      <c r="M14" s="1">
        <v>36.4</v>
      </c>
      <c r="N14" s="1">
        <v>34.9</v>
      </c>
      <c r="O14" s="1">
        <v>35.200000000000003</v>
      </c>
      <c r="Q14" s="1" t="s">
        <v>18</v>
      </c>
      <c r="R14" s="1">
        <v>396.8</v>
      </c>
    </row>
    <row r="15" spans="2:18" x14ac:dyDescent="0.25">
      <c r="B15" s="9">
        <v>45397</v>
      </c>
      <c r="C15" s="1">
        <v>36</v>
      </c>
      <c r="D15" s="1">
        <v>39.5</v>
      </c>
      <c r="E15" s="1">
        <v>33.5</v>
      </c>
      <c r="G15" s="9">
        <v>45397</v>
      </c>
      <c r="H15" s="1">
        <v>15</v>
      </c>
      <c r="I15" s="1">
        <v>14.5</v>
      </c>
      <c r="J15" s="1">
        <v>16.600000000000001</v>
      </c>
      <c r="L15" s="2">
        <v>45397</v>
      </c>
      <c r="M15" s="1">
        <v>39.299999999999997</v>
      </c>
      <c r="N15" s="1">
        <v>36.700000000000003</v>
      </c>
      <c r="O15" s="1">
        <v>37.200000000000003</v>
      </c>
      <c r="Q15" s="1" t="s">
        <v>19</v>
      </c>
      <c r="R15" s="1">
        <v>341.2</v>
      </c>
    </row>
    <row r="16" spans="2:18" x14ac:dyDescent="0.25">
      <c r="B16" s="9">
        <v>45428</v>
      </c>
      <c r="C16" s="1">
        <v>43.5</v>
      </c>
      <c r="D16" s="1">
        <v>47</v>
      </c>
      <c r="E16" s="1">
        <v>38</v>
      </c>
      <c r="G16" s="9">
        <v>45428</v>
      </c>
      <c r="H16" s="1">
        <v>33.5</v>
      </c>
      <c r="I16" s="1">
        <v>35</v>
      </c>
      <c r="J16" s="1">
        <v>31.6</v>
      </c>
      <c r="L16" s="2">
        <v>45428</v>
      </c>
      <c r="M16" s="1">
        <v>39.4</v>
      </c>
      <c r="N16" s="1">
        <v>37.9</v>
      </c>
      <c r="O16" s="1">
        <v>40.700000000000003</v>
      </c>
      <c r="Q16" s="1" t="s">
        <v>20</v>
      </c>
      <c r="R16" s="1">
        <v>149.6</v>
      </c>
    </row>
    <row r="17" spans="2:18" x14ac:dyDescent="0.25">
      <c r="B17" s="9">
        <v>45461</v>
      </c>
      <c r="C17" s="1">
        <v>44</v>
      </c>
      <c r="D17" s="1">
        <v>47.7</v>
      </c>
      <c r="E17" s="1">
        <v>39</v>
      </c>
      <c r="G17" s="9">
        <v>45461</v>
      </c>
      <c r="H17" s="1">
        <v>35</v>
      </c>
      <c r="I17" s="1">
        <v>35</v>
      </c>
      <c r="J17" s="1">
        <v>31.6</v>
      </c>
      <c r="L17" s="2">
        <v>45461</v>
      </c>
      <c r="M17" s="1">
        <v>40</v>
      </c>
      <c r="N17" s="5">
        <v>37.9</v>
      </c>
      <c r="O17" s="1">
        <v>41.2</v>
      </c>
      <c r="Q17" s="1" t="s">
        <v>21</v>
      </c>
      <c r="R17" s="1">
        <v>95.8</v>
      </c>
    </row>
    <row r="18" spans="2:18" x14ac:dyDescent="0.25">
      <c r="B18" s="9">
        <v>45491</v>
      </c>
      <c r="C18" s="1">
        <v>44.4</v>
      </c>
      <c r="D18" s="1">
        <v>47.7</v>
      </c>
      <c r="E18" s="1">
        <v>39.5</v>
      </c>
      <c r="G18" s="9">
        <v>45491</v>
      </c>
      <c r="H18" s="1">
        <v>35</v>
      </c>
      <c r="I18" s="1">
        <v>36.6</v>
      </c>
      <c r="J18" s="1">
        <v>33.299999999999997</v>
      </c>
      <c r="L18" s="2">
        <v>45491</v>
      </c>
      <c r="M18" s="1">
        <v>39.9</v>
      </c>
      <c r="N18" s="1">
        <v>37.9</v>
      </c>
      <c r="O18" s="1">
        <v>41.2</v>
      </c>
      <c r="Q18" s="1" t="s">
        <v>22</v>
      </c>
      <c r="R18" s="1">
        <v>5.8</v>
      </c>
    </row>
    <row r="19" spans="2:18" x14ac:dyDescent="0.25">
      <c r="B19" s="9">
        <v>45525</v>
      </c>
      <c r="C19" s="1">
        <v>44.5</v>
      </c>
      <c r="D19" s="1">
        <v>48.3</v>
      </c>
      <c r="E19" s="1">
        <v>39.799999999999997</v>
      </c>
      <c r="G19" s="9">
        <v>45525</v>
      </c>
      <c r="H19" s="1">
        <v>35.4</v>
      </c>
      <c r="I19" s="1">
        <v>37.200000000000003</v>
      </c>
      <c r="J19" s="1">
        <v>33.6</v>
      </c>
      <c r="L19" s="2">
        <v>45525</v>
      </c>
      <c r="M19" s="1">
        <v>39.9</v>
      </c>
      <c r="N19" s="1">
        <v>38.200000000000003</v>
      </c>
      <c r="O19" s="1">
        <v>41.2</v>
      </c>
      <c r="Q19" s="1" t="s">
        <v>23</v>
      </c>
      <c r="R19" s="1">
        <v>19</v>
      </c>
    </row>
    <row r="20" spans="2:18" x14ac:dyDescent="0.25">
      <c r="B20" s="9">
        <v>45556</v>
      </c>
      <c r="C20" s="1">
        <v>45</v>
      </c>
      <c r="D20" s="1">
        <v>48.5</v>
      </c>
      <c r="E20" s="1">
        <v>39.5</v>
      </c>
      <c r="G20" s="9">
        <v>45556</v>
      </c>
      <c r="H20" s="1">
        <v>35</v>
      </c>
      <c r="I20" s="1">
        <v>37</v>
      </c>
      <c r="J20" s="1">
        <v>33.6</v>
      </c>
      <c r="L20" s="2">
        <v>45556</v>
      </c>
      <c r="M20" s="1">
        <v>39.4</v>
      </c>
      <c r="N20" s="1">
        <v>37.9</v>
      </c>
      <c r="O20" s="1">
        <v>40.700000000000003</v>
      </c>
      <c r="Q20" s="1" t="s">
        <v>24</v>
      </c>
      <c r="R20" s="1">
        <v>11.8</v>
      </c>
    </row>
    <row r="21" spans="2:18" x14ac:dyDescent="0.25">
      <c r="B21" s="9">
        <v>45586</v>
      </c>
      <c r="C21" s="1">
        <v>44.7</v>
      </c>
      <c r="D21" s="1">
        <v>48.2</v>
      </c>
      <c r="E21" s="1">
        <v>40</v>
      </c>
      <c r="G21" s="9">
        <v>45586</v>
      </c>
      <c r="H21" s="1">
        <v>35.299999999999997</v>
      </c>
      <c r="I21" s="1">
        <v>36.799999999999997</v>
      </c>
      <c r="J21" s="1">
        <v>33.4</v>
      </c>
      <c r="L21" s="4">
        <v>45586</v>
      </c>
      <c r="M21" s="1">
        <v>39.799999999999997</v>
      </c>
      <c r="N21" s="1">
        <v>37.9</v>
      </c>
      <c r="O21" s="1">
        <v>40.9</v>
      </c>
      <c r="Q21" s="1" t="s">
        <v>25</v>
      </c>
      <c r="R21" s="1">
        <v>13.8</v>
      </c>
    </row>
    <row r="22" spans="2:18" x14ac:dyDescent="0.25">
      <c r="B22" s="9">
        <v>45618</v>
      </c>
      <c r="C22" s="1">
        <v>45.8</v>
      </c>
      <c r="D22" s="1">
        <v>48.9</v>
      </c>
      <c r="E22" s="1">
        <v>39.9</v>
      </c>
      <c r="G22" s="9">
        <v>45618</v>
      </c>
      <c r="H22" s="1">
        <v>37.5</v>
      </c>
      <c r="I22" s="1">
        <v>38</v>
      </c>
      <c r="J22" s="1">
        <v>33.6</v>
      </c>
      <c r="L22" s="4">
        <v>45618</v>
      </c>
      <c r="M22" s="1">
        <v>39.9</v>
      </c>
      <c r="N22" s="1">
        <v>38.1</v>
      </c>
      <c r="O22" s="1">
        <v>40.700000000000003</v>
      </c>
      <c r="Q22" s="1" t="s">
        <v>26</v>
      </c>
      <c r="R22" s="1">
        <v>80</v>
      </c>
    </row>
    <row r="23" spans="2:18" x14ac:dyDescent="0.25">
      <c r="B23" s="9">
        <v>45644</v>
      </c>
      <c r="C23" s="1">
        <v>46</v>
      </c>
      <c r="D23" s="1">
        <v>49.3</v>
      </c>
      <c r="E23" s="1">
        <v>39.9</v>
      </c>
      <c r="G23" s="9">
        <v>45644</v>
      </c>
      <c r="H23" s="1">
        <v>37.5</v>
      </c>
      <c r="I23" s="1">
        <v>37.799999999999997</v>
      </c>
      <c r="J23" s="1">
        <v>33.6</v>
      </c>
      <c r="L23" s="4">
        <v>45644</v>
      </c>
      <c r="M23" s="1">
        <v>39.799999999999997</v>
      </c>
      <c r="N23" s="1">
        <v>37.9</v>
      </c>
      <c r="O23" s="1">
        <v>40.6</v>
      </c>
      <c r="Q23" s="1" t="s">
        <v>27</v>
      </c>
      <c r="R23" s="1">
        <v>34</v>
      </c>
    </row>
    <row r="24" spans="2:18" x14ac:dyDescent="0.25">
      <c r="B24" s="9">
        <v>45678</v>
      </c>
      <c r="C24" s="1">
        <v>46</v>
      </c>
      <c r="D24" s="1">
        <v>51.5</v>
      </c>
      <c r="E24" s="1">
        <v>40.9</v>
      </c>
      <c r="G24" s="9">
        <v>45678</v>
      </c>
      <c r="H24" s="1">
        <v>40.9</v>
      </c>
      <c r="I24" s="1">
        <v>42</v>
      </c>
      <c r="J24" s="1">
        <v>39.9</v>
      </c>
      <c r="L24" s="2">
        <v>45678</v>
      </c>
      <c r="M24" s="1">
        <v>39.4</v>
      </c>
      <c r="N24" s="1">
        <v>37.9</v>
      </c>
      <c r="O24" s="1">
        <v>41</v>
      </c>
      <c r="Q24" s="1" t="s">
        <v>28</v>
      </c>
      <c r="R24" s="1">
        <v>89.4</v>
      </c>
    </row>
    <row r="25" spans="2:18" x14ac:dyDescent="0.25">
      <c r="B25" s="9">
        <v>45711</v>
      </c>
      <c r="C25" s="1">
        <v>47.5</v>
      </c>
      <c r="D25" s="1">
        <v>52.5</v>
      </c>
      <c r="E25" s="1">
        <v>42.7</v>
      </c>
      <c r="G25" s="9">
        <v>45711</v>
      </c>
      <c r="H25" s="1">
        <v>42.8</v>
      </c>
      <c r="I25" s="1">
        <v>43.8</v>
      </c>
      <c r="J25" s="1">
        <v>41.5</v>
      </c>
      <c r="L25" s="2">
        <v>45711</v>
      </c>
      <c r="M25" s="1">
        <v>39.700000000000003</v>
      </c>
      <c r="N25" s="1">
        <v>39.799999999999997</v>
      </c>
      <c r="O25" s="1">
        <v>44</v>
      </c>
      <c r="Q25" s="1" t="s">
        <v>29</v>
      </c>
      <c r="R25" s="1">
        <v>112</v>
      </c>
    </row>
    <row r="26" spans="2:18" x14ac:dyDescent="0.25">
      <c r="B26" s="9">
        <v>45741</v>
      </c>
      <c r="C26" s="1">
        <v>49</v>
      </c>
      <c r="D26" s="1">
        <v>55.5</v>
      </c>
      <c r="E26" s="1">
        <v>45.5</v>
      </c>
      <c r="G26" s="9">
        <v>45741</v>
      </c>
      <c r="H26" s="1">
        <v>44.5</v>
      </c>
      <c r="I26" s="1">
        <v>44.5</v>
      </c>
      <c r="J26" s="1">
        <v>41.8</v>
      </c>
      <c r="L26" s="2">
        <v>45741</v>
      </c>
      <c r="M26" s="1">
        <v>40.200000000000003</v>
      </c>
      <c r="N26" s="1">
        <v>40.799999999999997</v>
      </c>
      <c r="O26" s="1">
        <v>45</v>
      </c>
      <c r="Q26" s="1" t="s">
        <v>30</v>
      </c>
      <c r="R26" s="1">
        <v>359</v>
      </c>
    </row>
    <row r="27" spans="2:18" x14ac:dyDescent="0.25">
      <c r="B27" s="9">
        <v>45772</v>
      </c>
      <c r="C27" s="1">
        <v>51.9</v>
      </c>
      <c r="D27" s="1">
        <v>58.7</v>
      </c>
      <c r="E27" s="1">
        <v>50</v>
      </c>
      <c r="G27" s="9">
        <v>45772</v>
      </c>
      <c r="H27" s="1">
        <v>47.5</v>
      </c>
      <c r="I27" s="1">
        <v>47.8</v>
      </c>
      <c r="J27" s="1">
        <v>45</v>
      </c>
      <c r="L27" s="2">
        <v>45772</v>
      </c>
      <c r="M27" s="1">
        <v>42.8</v>
      </c>
      <c r="N27" s="1">
        <v>42.7</v>
      </c>
      <c r="O27" s="1">
        <v>48.2</v>
      </c>
    </row>
    <row r="28" spans="2:18" x14ac:dyDescent="0.25">
      <c r="B28" s="9">
        <v>45802</v>
      </c>
      <c r="C28" s="1">
        <v>54.2</v>
      </c>
      <c r="D28" s="1">
        <v>49</v>
      </c>
      <c r="E28" s="1">
        <v>41</v>
      </c>
      <c r="G28" s="9">
        <v>45802</v>
      </c>
      <c r="H28" s="1">
        <v>33.5</v>
      </c>
      <c r="I28" s="1">
        <v>28.5</v>
      </c>
      <c r="J28" s="1">
        <v>24.6</v>
      </c>
      <c r="L28" s="2">
        <v>45802</v>
      </c>
      <c r="M28" s="1">
        <v>50.4</v>
      </c>
      <c r="N28" s="1">
        <v>49.3</v>
      </c>
      <c r="O28" s="1">
        <v>52</v>
      </c>
    </row>
  </sheetData>
  <mergeCells count="3">
    <mergeCell ref="C1:E1"/>
    <mergeCell ref="H1:J1"/>
    <mergeCell ref="M1:O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7B9C-467E-435F-9A81-1096FB4EBEF4}">
  <dimension ref="A1:T107"/>
  <sheetViews>
    <sheetView tabSelected="1" topLeftCell="A24" workbookViewId="0">
      <selection activeCell="D48" sqref="D48"/>
    </sheetView>
  </sheetViews>
  <sheetFormatPr defaultColWidth="12.6640625" defaultRowHeight="13.2" x14ac:dyDescent="0.25"/>
  <cols>
    <col min="2" max="2" width="12.6640625" style="8"/>
    <col min="7" max="7" width="12.6640625" style="8"/>
    <col min="19" max="19" width="25.21875" customWidth="1"/>
  </cols>
  <sheetData>
    <row r="1" spans="2:20" x14ac:dyDescent="0.25">
      <c r="C1" s="10" t="s">
        <v>31</v>
      </c>
      <c r="D1" s="7"/>
      <c r="E1" s="7"/>
      <c r="H1" s="6" t="s">
        <v>32</v>
      </c>
      <c r="I1" s="7"/>
      <c r="J1" s="7"/>
      <c r="N1" s="6" t="s">
        <v>33</v>
      </c>
      <c r="O1" s="7"/>
      <c r="P1" s="7"/>
    </row>
    <row r="3" spans="2:20" x14ac:dyDescent="0.25">
      <c r="C3" s="1" t="s">
        <v>4</v>
      </c>
      <c r="D3" s="1" t="s">
        <v>5</v>
      </c>
      <c r="E3" s="1" t="s">
        <v>6</v>
      </c>
      <c r="H3" s="1" t="s">
        <v>4</v>
      </c>
      <c r="I3" s="1" t="s">
        <v>5</v>
      </c>
      <c r="J3" s="1" t="s">
        <v>6</v>
      </c>
      <c r="K3" s="1"/>
      <c r="N3" s="1" t="s">
        <v>4</v>
      </c>
      <c r="O3" s="1" t="s">
        <v>5</v>
      </c>
      <c r="P3" s="1" t="s">
        <v>6</v>
      </c>
      <c r="Q3" s="1"/>
      <c r="S3" s="3" t="s">
        <v>34</v>
      </c>
      <c r="T3" s="1">
        <v>0</v>
      </c>
    </row>
    <row r="4" spans="2:20" x14ac:dyDescent="0.25">
      <c r="C4" s="1"/>
      <c r="D4" s="1"/>
      <c r="E4" s="1"/>
      <c r="H4" s="1"/>
      <c r="I4" s="1"/>
      <c r="J4" s="1"/>
      <c r="K4" s="1"/>
      <c r="N4" s="1"/>
      <c r="O4" s="1"/>
      <c r="P4" s="1"/>
      <c r="Q4" s="1"/>
      <c r="S4" s="1" t="s">
        <v>8</v>
      </c>
      <c r="T4" s="1">
        <v>222.6</v>
      </c>
    </row>
    <row r="5" spans="2:20" x14ac:dyDescent="0.25">
      <c r="B5" s="9">
        <v>45089</v>
      </c>
      <c r="C5" s="1">
        <v>0</v>
      </c>
      <c r="D5" s="1">
        <v>0</v>
      </c>
      <c r="E5" s="1">
        <v>0</v>
      </c>
      <c r="F5">
        <f>AVERAGE(C5:E5)</f>
        <v>0</v>
      </c>
      <c r="G5" s="9">
        <v>45089</v>
      </c>
      <c r="H5" s="1">
        <v>0</v>
      </c>
      <c r="I5" s="1">
        <v>0</v>
      </c>
      <c r="J5" s="1">
        <v>0</v>
      </c>
      <c r="K5">
        <f>AVERAGE(H5:J5)</f>
        <v>0</v>
      </c>
      <c r="M5" s="9">
        <v>45089</v>
      </c>
      <c r="N5" s="1">
        <v>0</v>
      </c>
      <c r="O5" s="1">
        <v>0</v>
      </c>
      <c r="P5" s="1">
        <v>0</v>
      </c>
      <c r="Q5" s="1">
        <f>AVERAGE(N5:P5)</f>
        <v>0</v>
      </c>
      <c r="S5" s="1" t="s">
        <v>9</v>
      </c>
      <c r="T5" s="1">
        <v>116.8</v>
      </c>
    </row>
    <row r="6" spans="2:20" x14ac:dyDescent="0.25">
      <c r="B6" s="9">
        <v>45119</v>
      </c>
      <c r="C6" s="1">
        <v>5</v>
      </c>
      <c r="D6" s="1">
        <v>6.5</v>
      </c>
      <c r="E6" s="1">
        <v>6</v>
      </c>
      <c r="F6">
        <f t="shared" ref="F6:F28" si="0">AVERAGE(C6:E6)</f>
        <v>5.833333333333333</v>
      </c>
      <c r="G6" s="9">
        <v>45119</v>
      </c>
      <c r="H6" s="1">
        <v>8</v>
      </c>
      <c r="I6" s="1">
        <v>7.5</v>
      </c>
      <c r="J6" s="1">
        <v>5.6</v>
      </c>
      <c r="K6">
        <f t="shared" ref="K6:K28" si="1">AVERAGE(H6:J6)</f>
        <v>7.0333333333333341</v>
      </c>
      <c r="M6" s="9">
        <v>45119</v>
      </c>
      <c r="N6" s="1">
        <v>10.7</v>
      </c>
      <c r="O6" s="1">
        <v>11.5</v>
      </c>
      <c r="P6" s="1">
        <v>8.9</v>
      </c>
      <c r="Q6" s="1">
        <f t="shared" ref="Q6:Q28" si="2">AVERAGE(N6:P6)</f>
        <v>10.366666666666667</v>
      </c>
      <c r="S6" s="1" t="s">
        <v>10</v>
      </c>
      <c r="T6" s="1">
        <v>46.2</v>
      </c>
    </row>
    <row r="7" spans="2:20" x14ac:dyDescent="0.25">
      <c r="B7" s="9">
        <v>45149</v>
      </c>
      <c r="C7" s="1">
        <v>7</v>
      </c>
      <c r="D7" s="1">
        <v>7</v>
      </c>
      <c r="E7" s="1">
        <v>7.5</v>
      </c>
      <c r="F7">
        <f t="shared" si="0"/>
        <v>7.166666666666667</v>
      </c>
      <c r="G7" s="9">
        <v>45149</v>
      </c>
      <c r="H7" s="1">
        <v>14.5</v>
      </c>
      <c r="I7" s="1">
        <v>11</v>
      </c>
      <c r="J7" s="1">
        <v>11.6</v>
      </c>
      <c r="K7">
        <f t="shared" si="1"/>
        <v>12.366666666666667</v>
      </c>
      <c r="M7" s="9">
        <v>45149</v>
      </c>
      <c r="N7" s="1">
        <v>15.4</v>
      </c>
      <c r="O7" s="1">
        <v>15.9</v>
      </c>
      <c r="P7" s="1">
        <v>13.2</v>
      </c>
      <c r="Q7" s="1">
        <f t="shared" si="2"/>
        <v>14.833333333333334</v>
      </c>
      <c r="S7" s="1" t="s">
        <v>11</v>
      </c>
      <c r="T7" s="1">
        <v>36.4</v>
      </c>
    </row>
    <row r="8" spans="2:20" x14ac:dyDescent="0.25">
      <c r="B8" s="9">
        <v>45181</v>
      </c>
      <c r="C8" s="1">
        <v>7.5</v>
      </c>
      <c r="D8" s="1">
        <v>8</v>
      </c>
      <c r="E8" s="1">
        <v>7.7</v>
      </c>
      <c r="F8">
        <f t="shared" si="0"/>
        <v>7.7333333333333334</v>
      </c>
      <c r="G8" s="9">
        <v>45181</v>
      </c>
      <c r="H8" s="1">
        <v>15</v>
      </c>
      <c r="I8" s="1">
        <v>12.5</v>
      </c>
      <c r="J8" s="1">
        <v>12.1</v>
      </c>
      <c r="K8">
        <f t="shared" si="1"/>
        <v>13.200000000000001</v>
      </c>
      <c r="M8" s="9">
        <v>45181</v>
      </c>
      <c r="N8" s="1">
        <v>15.6</v>
      </c>
      <c r="O8" s="1">
        <v>16.600000000000001</v>
      </c>
      <c r="P8" s="1">
        <v>12.2</v>
      </c>
      <c r="Q8" s="1">
        <f t="shared" si="2"/>
        <v>14.800000000000002</v>
      </c>
      <c r="S8" s="1" t="s">
        <v>12</v>
      </c>
      <c r="T8" s="1">
        <v>0</v>
      </c>
    </row>
    <row r="9" spans="2:20" x14ac:dyDescent="0.25">
      <c r="B9" s="9">
        <v>45210</v>
      </c>
      <c r="C9" s="1">
        <v>7.5</v>
      </c>
      <c r="D9" s="1">
        <v>7.5</v>
      </c>
      <c r="E9" s="1">
        <v>8.5</v>
      </c>
      <c r="F9">
        <f t="shared" si="0"/>
        <v>7.833333333333333</v>
      </c>
      <c r="G9" s="9">
        <v>45210</v>
      </c>
      <c r="H9" s="1">
        <v>15.5</v>
      </c>
      <c r="I9" s="1">
        <v>12.5</v>
      </c>
      <c r="J9" s="1">
        <v>12.1</v>
      </c>
      <c r="K9">
        <f t="shared" si="1"/>
        <v>13.366666666666667</v>
      </c>
      <c r="M9" s="9">
        <v>45210</v>
      </c>
      <c r="N9" s="1">
        <v>15.4</v>
      </c>
      <c r="O9" s="1">
        <v>16.899999999999999</v>
      </c>
      <c r="P9" s="1">
        <v>12.2</v>
      </c>
      <c r="Q9" s="1">
        <f t="shared" si="2"/>
        <v>14.833333333333334</v>
      </c>
      <c r="S9" s="1" t="s">
        <v>13</v>
      </c>
      <c r="T9" s="1">
        <v>21.8</v>
      </c>
    </row>
    <row r="10" spans="2:20" x14ac:dyDescent="0.25">
      <c r="B10" s="9">
        <v>45243</v>
      </c>
      <c r="C10" s="1">
        <v>9</v>
      </c>
      <c r="D10" s="1">
        <v>8.5</v>
      </c>
      <c r="E10" s="1">
        <v>8.5</v>
      </c>
      <c r="F10">
        <f t="shared" si="0"/>
        <v>8.6666666666666661</v>
      </c>
      <c r="G10" s="9">
        <v>45243</v>
      </c>
      <c r="H10" s="1">
        <v>14.5</v>
      </c>
      <c r="I10" s="1">
        <v>12</v>
      </c>
      <c r="J10" s="1">
        <v>11.6</v>
      </c>
      <c r="K10">
        <f t="shared" si="1"/>
        <v>12.700000000000001</v>
      </c>
      <c r="M10" s="9">
        <v>45243</v>
      </c>
      <c r="N10" s="1">
        <v>15.4</v>
      </c>
      <c r="O10" s="1">
        <v>15.9</v>
      </c>
      <c r="P10" s="1">
        <v>11.7</v>
      </c>
      <c r="Q10" s="1">
        <f t="shared" si="2"/>
        <v>14.333333333333334</v>
      </c>
      <c r="S10" s="1" t="s">
        <v>14</v>
      </c>
      <c r="T10" s="1">
        <v>60.4</v>
      </c>
    </row>
    <row r="11" spans="2:20" x14ac:dyDescent="0.25">
      <c r="B11" s="9">
        <v>45272</v>
      </c>
      <c r="C11" s="1">
        <v>8</v>
      </c>
      <c r="D11" s="1">
        <v>8.5</v>
      </c>
      <c r="E11" s="1">
        <v>8.9</v>
      </c>
      <c r="F11">
        <f t="shared" si="0"/>
        <v>8.4666666666666668</v>
      </c>
      <c r="G11" s="9">
        <v>45272</v>
      </c>
      <c r="H11" s="1">
        <v>15.5</v>
      </c>
      <c r="I11" s="1">
        <v>13</v>
      </c>
      <c r="J11" s="1">
        <v>12.6</v>
      </c>
      <c r="K11">
        <f t="shared" si="1"/>
        <v>13.700000000000001</v>
      </c>
      <c r="M11" s="9">
        <v>45272</v>
      </c>
      <c r="N11" s="1">
        <v>15.8</v>
      </c>
      <c r="O11" s="1">
        <v>16.7</v>
      </c>
      <c r="P11" s="1">
        <v>12.2</v>
      </c>
      <c r="Q11" s="1">
        <f t="shared" si="2"/>
        <v>14.9</v>
      </c>
      <c r="S11" s="1" t="s">
        <v>15</v>
      </c>
      <c r="T11" s="1">
        <v>37.200000000000003</v>
      </c>
    </row>
    <row r="12" spans="2:20" x14ac:dyDescent="0.25">
      <c r="B12" s="9">
        <v>45306</v>
      </c>
      <c r="C12" s="1">
        <v>9.5</v>
      </c>
      <c r="D12" s="1">
        <v>10.5</v>
      </c>
      <c r="E12" s="1">
        <v>12.5</v>
      </c>
      <c r="F12">
        <f t="shared" si="0"/>
        <v>10.833333333333334</v>
      </c>
      <c r="G12" s="9">
        <v>45306</v>
      </c>
      <c r="H12" s="1">
        <v>17</v>
      </c>
      <c r="I12" s="1">
        <v>14</v>
      </c>
      <c r="J12" s="1">
        <v>14.8</v>
      </c>
      <c r="K12">
        <f t="shared" si="1"/>
        <v>15.266666666666666</v>
      </c>
      <c r="M12" s="9">
        <v>45306</v>
      </c>
      <c r="N12" s="1">
        <v>22.4</v>
      </c>
      <c r="O12" s="1">
        <v>18.399999999999999</v>
      </c>
      <c r="P12" s="1">
        <v>14.2</v>
      </c>
      <c r="Q12" s="1">
        <f t="shared" si="2"/>
        <v>18.333333333333332</v>
      </c>
      <c r="S12" s="1" t="s">
        <v>16</v>
      </c>
      <c r="T12" s="1">
        <v>162.19999999999999</v>
      </c>
    </row>
    <row r="13" spans="2:20" x14ac:dyDescent="0.25">
      <c r="B13" s="9">
        <v>45337</v>
      </c>
      <c r="C13" s="1">
        <v>14.7</v>
      </c>
      <c r="D13" s="1">
        <v>15</v>
      </c>
      <c r="E13" s="1">
        <v>14.5</v>
      </c>
      <c r="F13">
        <f t="shared" si="0"/>
        <v>14.733333333333334</v>
      </c>
      <c r="G13" s="9">
        <v>45337</v>
      </c>
      <c r="H13" s="1">
        <v>14.4</v>
      </c>
      <c r="I13" s="1">
        <v>14</v>
      </c>
      <c r="J13" s="1">
        <v>16.600000000000001</v>
      </c>
      <c r="K13">
        <f t="shared" si="1"/>
        <v>15</v>
      </c>
      <c r="M13" s="9">
        <v>45337</v>
      </c>
      <c r="N13" s="1">
        <v>25.4</v>
      </c>
      <c r="O13" s="1">
        <v>24.9</v>
      </c>
      <c r="P13" s="1">
        <v>18.2</v>
      </c>
      <c r="Q13" s="1">
        <f t="shared" si="2"/>
        <v>22.833333333333332</v>
      </c>
      <c r="S13" s="1" t="s">
        <v>17</v>
      </c>
      <c r="T13" s="1">
        <v>156</v>
      </c>
    </row>
    <row r="14" spans="2:20" x14ac:dyDescent="0.25">
      <c r="B14" s="9">
        <v>45366</v>
      </c>
      <c r="C14" s="1">
        <v>36</v>
      </c>
      <c r="D14" s="1">
        <v>38.5</v>
      </c>
      <c r="E14" s="1">
        <v>33.5</v>
      </c>
      <c r="F14">
        <f t="shared" si="0"/>
        <v>36</v>
      </c>
      <c r="G14" s="9">
        <v>45366</v>
      </c>
      <c r="H14" s="1">
        <v>15</v>
      </c>
      <c r="I14" s="1">
        <v>14</v>
      </c>
      <c r="J14" s="1">
        <v>15.6</v>
      </c>
      <c r="K14">
        <f t="shared" si="1"/>
        <v>14.866666666666667</v>
      </c>
      <c r="M14" s="9">
        <v>45366</v>
      </c>
      <c r="N14" s="1">
        <v>36.4</v>
      </c>
      <c r="O14" s="1">
        <v>34.9</v>
      </c>
      <c r="P14" s="1">
        <v>35.200000000000003</v>
      </c>
      <c r="Q14" s="1">
        <f t="shared" si="2"/>
        <v>35.5</v>
      </c>
      <c r="S14" s="1" t="s">
        <v>18</v>
      </c>
      <c r="T14" s="1">
        <v>396.8</v>
      </c>
    </row>
    <row r="15" spans="2:20" x14ac:dyDescent="0.25">
      <c r="B15" s="9">
        <v>45397</v>
      </c>
      <c r="C15" s="1">
        <v>36</v>
      </c>
      <c r="D15" s="1">
        <v>39.5</v>
      </c>
      <c r="E15" s="1">
        <v>33.5</v>
      </c>
      <c r="F15">
        <f t="shared" si="0"/>
        <v>36.333333333333336</v>
      </c>
      <c r="G15" s="9">
        <v>45397</v>
      </c>
      <c r="H15" s="1">
        <v>15</v>
      </c>
      <c r="I15" s="1">
        <v>14.5</v>
      </c>
      <c r="J15" s="1">
        <v>16.600000000000001</v>
      </c>
      <c r="K15">
        <f t="shared" si="1"/>
        <v>15.366666666666667</v>
      </c>
      <c r="M15" s="9">
        <v>45397</v>
      </c>
      <c r="N15" s="1">
        <v>39.299999999999997</v>
      </c>
      <c r="O15" s="1">
        <v>36.700000000000003</v>
      </c>
      <c r="P15" s="1">
        <v>37.200000000000003</v>
      </c>
      <c r="Q15" s="1">
        <f t="shared" si="2"/>
        <v>37.733333333333334</v>
      </c>
      <c r="S15" s="1" t="s">
        <v>19</v>
      </c>
      <c r="T15" s="1">
        <v>341.2</v>
      </c>
    </row>
    <row r="16" spans="2:20" x14ac:dyDescent="0.25">
      <c r="B16" s="9">
        <v>45428</v>
      </c>
      <c r="C16" s="1">
        <v>43.5</v>
      </c>
      <c r="D16" s="1">
        <v>47</v>
      </c>
      <c r="E16" s="1">
        <v>38</v>
      </c>
      <c r="F16">
        <f t="shared" si="0"/>
        <v>42.833333333333336</v>
      </c>
      <c r="G16" s="9">
        <v>45428</v>
      </c>
      <c r="H16" s="1">
        <v>33.5</v>
      </c>
      <c r="I16" s="1">
        <v>35</v>
      </c>
      <c r="J16" s="1">
        <v>31.6</v>
      </c>
      <c r="K16">
        <f t="shared" si="1"/>
        <v>33.366666666666667</v>
      </c>
      <c r="M16" s="9">
        <v>45428</v>
      </c>
      <c r="N16" s="1">
        <v>39.4</v>
      </c>
      <c r="O16" s="1">
        <v>37.9</v>
      </c>
      <c r="P16" s="1">
        <v>40.700000000000003</v>
      </c>
      <c r="Q16" s="1">
        <f t="shared" si="2"/>
        <v>39.333333333333336</v>
      </c>
      <c r="S16" s="1" t="s">
        <v>20</v>
      </c>
      <c r="T16" s="1">
        <v>149.6</v>
      </c>
    </row>
    <row r="17" spans="2:20" x14ac:dyDescent="0.25">
      <c r="B17" s="9">
        <v>45461</v>
      </c>
      <c r="C17" s="1">
        <v>44</v>
      </c>
      <c r="D17" s="1">
        <v>47.7</v>
      </c>
      <c r="E17" s="1">
        <v>39</v>
      </c>
      <c r="F17">
        <f t="shared" si="0"/>
        <v>43.566666666666663</v>
      </c>
      <c r="G17" s="9">
        <v>45461</v>
      </c>
      <c r="H17" s="1">
        <v>35</v>
      </c>
      <c r="I17" s="1">
        <v>35</v>
      </c>
      <c r="J17" s="1">
        <v>31.6</v>
      </c>
      <c r="K17">
        <f t="shared" si="1"/>
        <v>33.866666666666667</v>
      </c>
      <c r="M17" s="9">
        <v>45461</v>
      </c>
      <c r="N17" s="1">
        <v>40</v>
      </c>
      <c r="O17" s="5">
        <v>37.9</v>
      </c>
      <c r="P17" s="1">
        <v>41.2</v>
      </c>
      <c r="Q17" s="1">
        <f t="shared" si="2"/>
        <v>39.700000000000003</v>
      </c>
      <c r="S17" s="1" t="s">
        <v>21</v>
      </c>
      <c r="T17" s="1">
        <v>95.8</v>
      </c>
    </row>
    <row r="18" spans="2:20" x14ac:dyDescent="0.25">
      <c r="B18" s="9">
        <v>45491</v>
      </c>
      <c r="C18" s="1">
        <v>44.4</v>
      </c>
      <c r="D18" s="1">
        <v>47.7</v>
      </c>
      <c r="E18" s="1">
        <v>39.5</v>
      </c>
      <c r="F18">
        <f t="shared" si="0"/>
        <v>43.866666666666667</v>
      </c>
      <c r="G18" s="9">
        <v>45491</v>
      </c>
      <c r="H18" s="1">
        <v>35</v>
      </c>
      <c r="I18" s="1">
        <v>36.6</v>
      </c>
      <c r="J18" s="1">
        <v>33.299999999999997</v>
      </c>
      <c r="K18">
        <f t="shared" si="1"/>
        <v>34.966666666666661</v>
      </c>
      <c r="M18" s="9">
        <v>45491</v>
      </c>
      <c r="N18" s="1">
        <v>39.9</v>
      </c>
      <c r="O18" s="1">
        <v>37.9</v>
      </c>
      <c r="P18" s="1">
        <v>41.2</v>
      </c>
      <c r="Q18" s="1">
        <f t="shared" si="2"/>
        <v>39.666666666666664</v>
      </c>
      <c r="S18" s="1" t="s">
        <v>22</v>
      </c>
      <c r="T18" s="1">
        <v>5.8</v>
      </c>
    </row>
    <row r="19" spans="2:20" x14ac:dyDescent="0.25">
      <c r="B19" s="9">
        <v>45525</v>
      </c>
      <c r="C19" s="1">
        <v>44.5</v>
      </c>
      <c r="D19" s="1">
        <v>48.3</v>
      </c>
      <c r="E19" s="1">
        <v>39.799999999999997</v>
      </c>
      <c r="F19">
        <f t="shared" si="0"/>
        <v>44.199999999999996</v>
      </c>
      <c r="G19" s="9">
        <v>45525</v>
      </c>
      <c r="H19" s="1">
        <v>35.4</v>
      </c>
      <c r="I19" s="1">
        <v>37.200000000000003</v>
      </c>
      <c r="J19" s="1">
        <v>33.6</v>
      </c>
      <c r="K19">
        <f t="shared" si="1"/>
        <v>35.4</v>
      </c>
      <c r="M19" s="9">
        <v>45525</v>
      </c>
      <c r="N19" s="1">
        <v>39.9</v>
      </c>
      <c r="O19" s="1">
        <v>38.200000000000003</v>
      </c>
      <c r="P19" s="1">
        <v>41.2</v>
      </c>
      <c r="Q19" s="1">
        <f t="shared" si="2"/>
        <v>39.766666666666666</v>
      </c>
      <c r="S19" s="1" t="s">
        <v>23</v>
      </c>
      <c r="T19" s="1">
        <v>19</v>
      </c>
    </row>
    <row r="20" spans="2:20" x14ac:dyDescent="0.25">
      <c r="B20" s="9">
        <v>45556</v>
      </c>
      <c r="C20" s="1">
        <v>45</v>
      </c>
      <c r="D20" s="1">
        <v>48.5</v>
      </c>
      <c r="E20" s="1">
        <v>39.5</v>
      </c>
      <c r="F20">
        <f t="shared" si="0"/>
        <v>44.333333333333336</v>
      </c>
      <c r="G20" s="9">
        <v>45556</v>
      </c>
      <c r="H20" s="1">
        <v>35</v>
      </c>
      <c r="I20" s="1">
        <v>37</v>
      </c>
      <c r="J20" s="1">
        <v>33.6</v>
      </c>
      <c r="K20">
        <f t="shared" si="1"/>
        <v>35.199999999999996</v>
      </c>
      <c r="M20" s="9">
        <v>45556</v>
      </c>
      <c r="N20" s="1">
        <v>39.4</v>
      </c>
      <c r="O20" s="1">
        <v>37.9</v>
      </c>
      <c r="P20" s="1">
        <v>40.700000000000003</v>
      </c>
      <c r="Q20" s="1">
        <f t="shared" si="2"/>
        <v>39.333333333333336</v>
      </c>
      <c r="S20" s="1" t="s">
        <v>24</v>
      </c>
      <c r="T20" s="1">
        <v>11.8</v>
      </c>
    </row>
    <row r="21" spans="2:20" x14ac:dyDescent="0.25">
      <c r="B21" s="9">
        <v>45586</v>
      </c>
      <c r="C21" s="1">
        <v>44.7</v>
      </c>
      <c r="D21" s="1">
        <v>48.2</v>
      </c>
      <c r="E21" s="1">
        <v>40</v>
      </c>
      <c r="F21">
        <f t="shared" si="0"/>
        <v>44.300000000000004</v>
      </c>
      <c r="G21" s="9">
        <v>45586</v>
      </c>
      <c r="H21" s="1">
        <v>35.299999999999997</v>
      </c>
      <c r="I21" s="1">
        <v>36.799999999999997</v>
      </c>
      <c r="J21" s="1">
        <v>33.4</v>
      </c>
      <c r="K21">
        <f t="shared" si="1"/>
        <v>35.166666666666664</v>
      </c>
      <c r="M21" s="9">
        <v>45586</v>
      </c>
      <c r="N21" s="1">
        <v>39.799999999999997</v>
      </c>
      <c r="O21" s="1">
        <v>37.9</v>
      </c>
      <c r="P21" s="1">
        <v>40.9</v>
      </c>
      <c r="Q21" s="1">
        <f t="shared" si="2"/>
        <v>39.533333333333331</v>
      </c>
      <c r="S21" s="1" t="s">
        <v>25</v>
      </c>
      <c r="T21" s="1">
        <v>13.8</v>
      </c>
    </row>
    <row r="22" spans="2:20" x14ac:dyDescent="0.25">
      <c r="B22" s="9">
        <v>45618</v>
      </c>
      <c r="C22" s="1">
        <v>45.8</v>
      </c>
      <c r="D22" s="1">
        <v>48.9</v>
      </c>
      <c r="E22" s="1">
        <v>39.9</v>
      </c>
      <c r="F22">
        <f t="shared" si="0"/>
        <v>44.866666666666667</v>
      </c>
      <c r="G22" s="9">
        <v>45618</v>
      </c>
      <c r="H22" s="1">
        <v>37.5</v>
      </c>
      <c r="I22" s="1">
        <v>38</v>
      </c>
      <c r="J22" s="1">
        <v>33.6</v>
      </c>
      <c r="K22">
        <f t="shared" si="1"/>
        <v>36.366666666666667</v>
      </c>
      <c r="M22" s="9">
        <v>45618</v>
      </c>
      <c r="N22" s="1">
        <v>39.9</v>
      </c>
      <c r="O22" s="1">
        <v>38.1</v>
      </c>
      <c r="P22" s="1">
        <v>40.700000000000003</v>
      </c>
      <c r="Q22" s="1">
        <f t="shared" si="2"/>
        <v>39.56666666666667</v>
      </c>
      <c r="S22" s="1" t="s">
        <v>26</v>
      </c>
      <c r="T22" s="1">
        <v>80</v>
      </c>
    </row>
    <row r="23" spans="2:20" x14ac:dyDescent="0.25">
      <c r="B23" s="9">
        <v>45644</v>
      </c>
      <c r="C23" s="1">
        <v>46</v>
      </c>
      <c r="D23" s="1">
        <v>49.3</v>
      </c>
      <c r="E23" s="1">
        <v>39.9</v>
      </c>
      <c r="F23">
        <f t="shared" si="0"/>
        <v>45.066666666666663</v>
      </c>
      <c r="G23" s="9">
        <v>45644</v>
      </c>
      <c r="H23" s="1">
        <v>37.5</v>
      </c>
      <c r="I23" s="1">
        <v>37.799999999999997</v>
      </c>
      <c r="J23" s="1">
        <v>33.6</v>
      </c>
      <c r="K23">
        <f t="shared" si="1"/>
        <v>36.300000000000004</v>
      </c>
      <c r="M23" s="9">
        <v>45644</v>
      </c>
      <c r="N23" s="1">
        <v>39.799999999999997</v>
      </c>
      <c r="O23" s="1">
        <v>37.9</v>
      </c>
      <c r="P23" s="1">
        <v>40.6</v>
      </c>
      <c r="Q23" s="1">
        <f t="shared" si="2"/>
        <v>39.43333333333333</v>
      </c>
      <c r="S23" s="1" t="s">
        <v>27</v>
      </c>
      <c r="T23" s="1">
        <v>34</v>
      </c>
    </row>
    <row r="24" spans="2:20" x14ac:dyDescent="0.25">
      <c r="B24" s="9">
        <v>45678</v>
      </c>
      <c r="C24" s="1">
        <v>46</v>
      </c>
      <c r="D24" s="1">
        <v>51.5</v>
      </c>
      <c r="E24" s="1">
        <v>40.9</v>
      </c>
      <c r="F24">
        <f t="shared" si="0"/>
        <v>46.133333333333333</v>
      </c>
      <c r="G24" s="9">
        <v>45678</v>
      </c>
      <c r="H24" s="1">
        <v>40.9</v>
      </c>
      <c r="I24" s="1">
        <v>42</v>
      </c>
      <c r="J24" s="1">
        <v>39.9</v>
      </c>
      <c r="K24">
        <f t="shared" si="1"/>
        <v>40.933333333333337</v>
      </c>
      <c r="M24" s="9">
        <v>45678</v>
      </c>
      <c r="N24" s="1">
        <v>39.4</v>
      </c>
      <c r="O24" s="1">
        <v>37.9</v>
      </c>
      <c r="P24" s="1">
        <v>41</v>
      </c>
      <c r="Q24" s="1">
        <f t="shared" si="2"/>
        <v>39.43333333333333</v>
      </c>
      <c r="S24" s="1" t="s">
        <v>28</v>
      </c>
      <c r="T24" s="1">
        <v>89.4</v>
      </c>
    </row>
    <row r="25" spans="2:20" x14ac:dyDescent="0.25">
      <c r="B25" s="9">
        <v>45711</v>
      </c>
      <c r="C25" s="1">
        <v>47.5</v>
      </c>
      <c r="D25" s="1">
        <v>52.5</v>
      </c>
      <c r="E25" s="1">
        <v>42.7</v>
      </c>
      <c r="F25">
        <f t="shared" si="0"/>
        <v>47.566666666666663</v>
      </c>
      <c r="G25" s="9">
        <v>45711</v>
      </c>
      <c r="H25" s="1">
        <v>42.8</v>
      </c>
      <c r="I25" s="1">
        <v>43.8</v>
      </c>
      <c r="J25" s="1">
        <v>41.5</v>
      </c>
      <c r="K25">
        <f t="shared" si="1"/>
        <v>42.699999999999996</v>
      </c>
      <c r="M25" s="9">
        <v>45711</v>
      </c>
      <c r="N25" s="1">
        <v>39.700000000000003</v>
      </c>
      <c r="O25" s="1">
        <v>39.799999999999997</v>
      </c>
      <c r="P25" s="1">
        <v>44</v>
      </c>
      <c r="Q25" s="1">
        <f t="shared" si="2"/>
        <v>41.166666666666664</v>
      </c>
      <c r="S25" s="1" t="s">
        <v>29</v>
      </c>
      <c r="T25" s="1">
        <v>112</v>
      </c>
    </row>
    <row r="26" spans="2:20" x14ac:dyDescent="0.25">
      <c r="B26" s="9">
        <v>45741</v>
      </c>
      <c r="C26" s="1">
        <v>49</v>
      </c>
      <c r="D26" s="1">
        <v>55.5</v>
      </c>
      <c r="E26" s="1">
        <v>45.5</v>
      </c>
      <c r="F26">
        <f t="shared" si="0"/>
        <v>50</v>
      </c>
      <c r="G26" s="9">
        <v>45741</v>
      </c>
      <c r="H26" s="1">
        <v>44.5</v>
      </c>
      <c r="I26" s="1">
        <v>44.5</v>
      </c>
      <c r="J26" s="1">
        <v>41.8</v>
      </c>
      <c r="K26">
        <f t="shared" si="1"/>
        <v>43.6</v>
      </c>
      <c r="M26" s="9">
        <v>45741</v>
      </c>
      <c r="N26" s="1">
        <v>40.200000000000003</v>
      </c>
      <c r="O26" s="1">
        <v>40.799999999999997</v>
      </c>
      <c r="P26" s="1">
        <v>45</v>
      </c>
      <c r="Q26" s="1">
        <f t="shared" si="2"/>
        <v>42</v>
      </c>
      <c r="S26" s="1" t="s">
        <v>30</v>
      </c>
      <c r="T26" s="1">
        <v>359</v>
      </c>
    </row>
    <row r="27" spans="2:20" x14ac:dyDescent="0.25">
      <c r="B27" s="9">
        <v>45772</v>
      </c>
      <c r="C27" s="1">
        <v>51.9</v>
      </c>
      <c r="D27" s="1">
        <v>58.7</v>
      </c>
      <c r="E27" s="1">
        <v>50</v>
      </c>
      <c r="F27">
        <f t="shared" si="0"/>
        <v>53.533333333333331</v>
      </c>
      <c r="G27" s="9">
        <v>45772</v>
      </c>
      <c r="H27" s="1">
        <v>47.5</v>
      </c>
      <c r="I27" s="1">
        <v>47.8</v>
      </c>
      <c r="J27" s="1">
        <v>45</v>
      </c>
      <c r="K27">
        <f t="shared" si="1"/>
        <v>46.766666666666673</v>
      </c>
      <c r="M27" s="9">
        <v>45772</v>
      </c>
      <c r="N27" s="1">
        <v>42.8</v>
      </c>
      <c r="O27" s="1">
        <v>42.7</v>
      </c>
      <c r="P27" s="1">
        <v>48.2</v>
      </c>
      <c r="Q27" s="1">
        <f t="shared" si="2"/>
        <v>44.566666666666663</v>
      </c>
    </row>
    <row r="28" spans="2:20" x14ac:dyDescent="0.25">
      <c r="B28" s="9">
        <v>45802</v>
      </c>
      <c r="C28" s="1">
        <v>54.2</v>
      </c>
      <c r="D28" s="1">
        <v>49</v>
      </c>
      <c r="E28" s="1">
        <v>41</v>
      </c>
      <c r="F28">
        <f t="shared" si="0"/>
        <v>48.066666666666663</v>
      </c>
      <c r="G28" s="9">
        <v>45802</v>
      </c>
      <c r="H28" s="1">
        <v>33.5</v>
      </c>
      <c r="I28" s="1">
        <v>28.5</v>
      </c>
      <c r="J28" s="1">
        <v>24.6</v>
      </c>
      <c r="K28">
        <f t="shared" si="1"/>
        <v>28.866666666666664</v>
      </c>
      <c r="M28" s="9">
        <v>45802</v>
      </c>
      <c r="N28" s="1">
        <v>50.4</v>
      </c>
      <c r="O28" s="1">
        <v>49.3</v>
      </c>
      <c r="P28" s="1">
        <v>52</v>
      </c>
      <c r="Q28" s="1">
        <f t="shared" si="2"/>
        <v>50.566666666666663</v>
      </c>
    </row>
    <row r="35" spans="1:4" x14ac:dyDescent="0.25">
      <c r="A35" s="11" t="s">
        <v>40</v>
      </c>
      <c r="B35" s="12" t="s">
        <v>39</v>
      </c>
      <c r="C35" s="11" t="s">
        <v>38</v>
      </c>
      <c r="D35" s="11" t="s">
        <v>41</v>
      </c>
    </row>
    <row r="36" spans="1:4" x14ac:dyDescent="0.25">
      <c r="A36" s="11" t="s">
        <v>35</v>
      </c>
      <c r="B36" s="9">
        <v>45089</v>
      </c>
      <c r="C36">
        <v>0</v>
      </c>
      <c r="D36" s="1">
        <v>0</v>
      </c>
    </row>
    <row r="37" spans="1:4" x14ac:dyDescent="0.25">
      <c r="A37" s="11" t="s">
        <v>35</v>
      </c>
      <c r="B37" s="9">
        <v>45119</v>
      </c>
      <c r="C37">
        <v>5.833333333333333</v>
      </c>
      <c r="D37" s="1">
        <v>222.6</v>
      </c>
    </row>
    <row r="38" spans="1:4" x14ac:dyDescent="0.25">
      <c r="A38" s="11" t="s">
        <v>35</v>
      </c>
      <c r="B38" s="9">
        <v>45149</v>
      </c>
      <c r="C38">
        <v>7.166666666666667</v>
      </c>
      <c r="D38" s="1">
        <v>116.8</v>
      </c>
    </row>
    <row r="39" spans="1:4" x14ac:dyDescent="0.25">
      <c r="A39" s="11" t="s">
        <v>35</v>
      </c>
      <c r="B39" s="9">
        <v>45181</v>
      </c>
      <c r="C39">
        <v>7.7333333333333334</v>
      </c>
      <c r="D39" s="1">
        <v>46.2</v>
      </c>
    </row>
    <row r="40" spans="1:4" x14ac:dyDescent="0.25">
      <c r="A40" s="11" t="s">
        <v>35</v>
      </c>
      <c r="B40" s="9">
        <v>45210</v>
      </c>
      <c r="C40">
        <v>7.833333333333333</v>
      </c>
      <c r="D40" s="1">
        <v>36.4</v>
      </c>
    </row>
    <row r="41" spans="1:4" x14ac:dyDescent="0.25">
      <c r="A41" s="11" t="s">
        <v>35</v>
      </c>
      <c r="B41" s="9">
        <v>45243</v>
      </c>
      <c r="C41">
        <v>8.6666666666666661</v>
      </c>
      <c r="D41" s="1">
        <v>0</v>
      </c>
    </row>
    <row r="42" spans="1:4" x14ac:dyDescent="0.25">
      <c r="A42" s="11" t="s">
        <v>35</v>
      </c>
      <c r="B42" s="9">
        <v>45272</v>
      </c>
      <c r="C42">
        <v>8.4666666666666668</v>
      </c>
      <c r="D42" s="1">
        <v>21.8</v>
      </c>
    </row>
    <row r="43" spans="1:4" x14ac:dyDescent="0.25">
      <c r="A43" s="11" t="s">
        <v>35</v>
      </c>
      <c r="B43" s="9">
        <v>45306</v>
      </c>
      <c r="C43">
        <v>10.833333333333334</v>
      </c>
      <c r="D43" s="1">
        <v>60.4</v>
      </c>
    </row>
    <row r="44" spans="1:4" x14ac:dyDescent="0.25">
      <c r="A44" s="11" t="s">
        <v>35</v>
      </c>
      <c r="B44" s="9">
        <v>45337</v>
      </c>
      <c r="C44">
        <v>14.733333333333334</v>
      </c>
      <c r="D44" s="1">
        <v>37.200000000000003</v>
      </c>
    </row>
    <row r="45" spans="1:4" x14ac:dyDescent="0.25">
      <c r="A45" s="11" t="s">
        <v>35</v>
      </c>
      <c r="B45" s="9">
        <v>45366</v>
      </c>
      <c r="C45">
        <v>36</v>
      </c>
      <c r="D45" s="1">
        <v>162.19999999999999</v>
      </c>
    </row>
    <row r="46" spans="1:4" x14ac:dyDescent="0.25">
      <c r="A46" s="11" t="s">
        <v>35</v>
      </c>
      <c r="B46" s="9">
        <v>45397</v>
      </c>
      <c r="C46">
        <v>36.333333333333336</v>
      </c>
      <c r="D46" s="1">
        <v>156</v>
      </c>
    </row>
    <row r="47" spans="1:4" x14ac:dyDescent="0.25">
      <c r="A47" s="11" t="s">
        <v>35</v>
      </c>
      <c r="B47" s="9">
        <v>45428</v>
      </c>
      <c r="C47">
        <v>42.833333333333336</v>
      </c>
      <c r="D47" s="1">
        <v>396.8</v>
      </c>
    </row>
    <row r="48" spans="1:4" x14ac:dyDescent="0.25">
      <c r="A48" s="11" t="s">
        <v>35</v>
      </c>
      <c r="B48" s="9">
        <v>45461</v>
      </c>
      <c r="C48">
        <v>43.566666666666663</v>
      </c>
      <c r="D48" s="1">
        <v>341.2</v>
      </c>
    </row>
    <row r="49" spans="1:4" x14ac:dyDescent="0.25">
      <c r="A49" s="11" t="s">
        <v>35</v>
      </c>
      <c r="B49" s="9">
        <v>45491</v>
      </c>
      <c r="C49">
        <v>43.866666666666667</v>
      </c>
      <c r="D49" s="1">
        <v>149.6</v>
      </c>
    </row>
    <row r="50" spans="1:4" x14ac:dyDescent="0.25">
      <c r="A50" s="11" t="s">
        <v>35</v>
      </c>
      <c r="B50" s="9">
        <v>45525</v>
      </c>
      <c r="C50">
        <v>44.199999999999996</v>
      </c>
      <c r="D50" s="1">
        <v>95.8</v>
      </c>
    </row>
    <row r="51" spans="1:4" x14ac:dyDescent="0.25">
      <c r="A51" s="11" t="s">
        <v>35</v>
      </c>
      <c r="B51" s="9">
        <v>45556</v>
      </c>
      <c r="C51">
        <v>44.333333333333336</v>
      </c>
      <c r="D51" s="1">
        <v>5.8</v>
      </c>
    </row>
    <row r="52" spans="1:4" x14ac:dyDescent="0.25">
      <c r="A52" s="11" t="s">
        <v>35</v>
      </c>
      <c r="B52" s="9">
        <v>45586</v>
      </c>
      <c r="C52">
        <v>44.300000000000004</v>
      </c>
      <c r="D52" s="1">
        <v>19</v>
      </c>
    </row>
    <row r="53" spans="1:4" x14ac:dyDescent="0.25">
      <c r="A53" s="11" t="s">
        <v>35</v>
      </c>
      <c r="B53" s="9">
        <v>45618</v>
      </c>
      <c r="C53">
        <v>44.866666666666667</v>
      </c>
      <c r="D53" s="1">
        <v>11.8</v>
      </c>
    </row>
    <row r="54" spans="1:4" x14ac:dyDescent="0.25">
      <c r="A54" s="11" t="s">
        <v>35</v>
      </c>
      <c r="B54" s="9">
        <v>45644</v>
      </c>
      <c r="C54">
        <v>45.066666666666663</v>
      </c>
      <c r="D54" s="1">
        <v>13.8</v>
      </c>
    </row>
    <row r="55" spans="1:4" x14ac:dyDescent="0.25">
      <c r="A55" s="11" t="s">
        <v>35</v>
      </c>
      <c r="B55" s="9">
        <v>45678</v>
      </c>
      <c r="C55">
        <v>46.133333333333333</v>
      </c>
      <c r="D55" s="1">
        <v>80</v>
      </c>
    </row>
    <row r="56" spans="1:4" x14ac:dyDescent="0.25">
      <c r="A56" s="11" t="s">
        <v>35</v>
      </c>
      <c r="B56" s="9">
        <v>45711</v>
      </c>
      <c r="C56">
        <v>47.566666666666663</v>
      </c>
      <c r="D56" s="1">
        <v>34</v>
      </c>
    </row>
    <row r="57" spans="1:4" x14ac:dyDescent="0.25">
      <c r="A57" s="11" t="s">
        <v>35</v>
      </c>
      <c r="B57" s="9">
        <v>45741</v>
      </c>
      <c r="C57">
        <v>50</v>
      </c>
      <c r="D57" s="1">
        <v>89.4</v>
      </c>
    </row>
    <row r="58" spans="1:4" x14ac:dyDescent="0.25">
      <c r="A58" s="11" t="s">
        <v>35</v>
      </c>
      <c r="B58" s="9">
        <v>45772</v>
      </c>
      <c r="C58">
        <v>53.533333333333331</v>
      </c>
      <c r="D58" s="1">
        <v>112</v>
      </c>
    </row>
    <row r="59" spans="1:4" x14ac:dyDescent="0.25">
      <c r="A59" s="11" t="s">
        <v>35</v>
      </c>
      <c r="B59" s="9">
        <v>45802</v>
      </c>
      <c r="C59">
        <v>48.066666666666663</v>
      </c>
      <c r="D59" s="1">
        <v>359</v>
      </c>
    </row>
    <row r="60" spans="1:4" x14ac:dyDescent="0.25">
      <c r="A60" s="11" t="s">
        <v>36</v>
      </c>
      <c r="B60" s="9">
        <v>45089</v>
      </c>
      <c r="C60">
        <v>0</v>
      </c>
    </row>
    <row r="61" spans="1:4" x14ac:dyDescent="0.25">
      <c r="A61" s="11" t="s">
        <v>36</v>
      </c>
      <c r="B61" s="9">
        <v>45119</v>
      </c>
      <c r="C61">
        <v>7.0333333333333341</v>
      </c>
    </row>
    <row r="62" spans="1:4" x14ac:dyDescent="0.25">
      <c r="A62" s="11" t="s">
        <v>36</v>
      </c>
      <c r="B62" s="9">
        <v>45149</v>
      </c>
      <c r="C62">
        <v>12.366666666666667</v>
      </c>
    </row>
    <row r="63" spans="1:4" x14ac:dyDescent="0.25">
      <c r="A63" s="11" t="s">
        <v>36</v>
      </c>
      <c r="B63" s="9">
        <v>45181</v>
      </c>
      <c r="C63">
        <v>13.200000000000001</v>
      </c>
    </row>
    <row r="64" spans="1:4" x14ac:dyDescent="0.25">
      <c r="A64" s="11" t="s">
        <v>36</v>
      </c>
      <c r="B64" s="9">
        <v>45210</v>
      </c>
      <c r="C64">
        <v>13.366666666666667</v>
      </c>
    </row>
    <row r="65" spans="1:3" x14ac:dyDescent="0.25">
      <c r="A65" s="11" t="s">
        <v>36</v>
      </c>
      <c r="B65" s="9">
        <v>45243</v>
      </c>
      <c r="C65">
        <v>12.700000000000001</v>
      </c>
    </row>
    <row r="66" spans="1:3" x14ac:dyDescent="0.25">
      <c r="A66" s="11" t="s">
        <v>36</v>
      </c>
      <c r="B66" s="9">
        <v>45272</v>
      </c>
      <c r="C66">
        <v>13.700000000000001</v>
      </c>
    </row>
    <row r="67" spans="1:3" x14ac:dyDescent="0.25">
      <c r="A67" s="11" t="s">
        <v>36</v>
      </c>
      <c r="B67" s="9">
        <v>45306</v>
      </c>
      <c r="C67">
        <v>15.266666666666666</v>
      </c>
    </row>
    <row r="68" spans="1:3" x14ac:dyDescent="0.25">
      <c r="A68" s="11" t="s">
        <v>36</v>
      </c>
      <c r="B68" s="9">
        <v>45337</v>
      </c>
      <c r="C68">
        <v>15</v>
      </c>
    </row>
    <row r="69" spans="1:3" x14ac:dyDescent="0.25">
      <c r="A69" s="11" t="s">
        <v>36</v>
      </c>
      <c r="B69" s="9">
        <v>45366</v>
      </c>
      <c r="C69">
        <v>14.866666666666667</v>
      </c>
    </row>
    <row r="70" spans="1:3" x14ac:dyDescent="0.25">
      <c r="A70" s="11" t="s">
        <v>36</v>
      </c>
      <c r="B70" s="9">
        <v>45397</v>
      </c>
      <c r="C70">
        <v>15.366666666666667</v>
      </c>
    </row>
    <row r="71" spans="1:3" x14ac:dyDescent="0.25">
      <c r="A71" s="11" t="s">
        <v>36</v>
      </c>
      <c r="B71" s="9">
        <v>45428</v>
      </c>
      <c r="C71">
        <v>33.366666666666667</v>
      </c>
    </row>
    <row r="72" spans="1:3" x14ac:dyDescent="0.25">
      <c r="A72" s="11" t="s">
        <v>36</v>
      </c>
      <c r="B72" s="9">
        <v>45461</v>
      </c>
      <c r="C72">
        <v>33.866666666666667</v>
      </c>
    </row>
    <row r="73" spans="1:3" x14ac:dyDescent="0.25">
      <c r="A73" s="11" t="s">
        <v>36</v>
      </c>
      <c r="B73" s="9">
        <v>45491</v>
      </c>
      <c r="C73">
        <v>34.966666666666661</v>
      </c>
    </row>
    <row r="74" spans="1:3" x14ac:dyDescent="0.25">
      <c r="A74" s="11" t="s">
        <v>36</v>
      </c>
      <c r="B74" s="9">
        <v>45525</v>
      </c>
      <c r="C74">
        <v>35.4</v>
      </c>
    </row>
    <row r="75" spans="1:3" x14ac:dyDescent="0.25">
      <c r="A75" s="11" t="s">
        <v>36</v>
      </c>
      <c r="B75" s="9">
        <v>45556</v>
      </c>
      <c r="C75">
        <v>35.199999999999996</v>
      </c>
    </row>
    <row r="76" spans="1:3" x14ac:dyDescent="0.25">
      <c r="A76" s="11" t="s">
        <v>36</v>
      </c>
      <c r="B76" s="9">
        <v>45586</v>
      </c>
      <c r="C76">
        <v>35.166666666666664</v>
      </c>
    </row>
    <row r="77" spans="1:3" x14ac:dyDescent="0.25">
      <c r="A77" s="11" t="s">
        <v>36</v>
      </c>
      <c r="B77" s="9">
        <v>45618</v>
      </c>
      <c r="C77">
        <v>36.366666666666667</v>
      </c>
    </row>
    <row r="78" spans="1:3" x14ac:dyDescent="0.25">
      <c r="A78" s="11" t="s">
        <v>36</v>
      </c>
      <c r="B78" s="9">
        <v>45644</v>
      </c>
      <c r="C78">
        <v>36.300000000000004</v>
      </c>
    </row>
    <row r="79" spans="1:3" x14ac:dyDescent="0.25">
      <c r="A79" s="11" t="s">
        <v>36</v>
      </c>
      <c r="B79" s="9">
        <v>45678</v>
      </c>
      <c r="C79">
        <v>40.933333333333337</v>
      </c>
    </row>
    <row r="80" spans="1:3" x14ac:dyDescent="0.25">
      <c r="A80" s="11" t="s">
        <v>36</v>
      </c>
      <c r="B80" s="9">
        <v>45711</v>
      </c>
      <c r="C80">
        <v>42.699999999999996</v>
      </c>
    </row>
    <row r="81" spans="1:3" x14ac:dyDescent="0.25">
      <c r="A81" s="11" t="s">
        <v>36</v>
      </c>
      <c r="B81" s="9">
        <v>45741</v>
      </c>
      <c r="C81">
        <v>43.6</v>
      </c>
    </row>
    <row r="82" spans="1:3" x14ac:dyDescent="0.25">
      <c r="A82" s="11" t="s">
        <v>36</v>
      </c>
      <c r="B82" s="9">
        <v>45772</v>
      </c>
      <c r="C82">
        <v>46.766666666666673</v>
      </c>
    </row>
    <row r="83" spans="1:3" x14ac:dyDescent="0.25">
      <c r="A83" s="11" t="s">
        <v>36</v>
      </c>
      <c r="B83" s="9">
        <v>45802</v>
      </c>
      <c r="C83">
        <v>28.866666666666664</v>
      </c>
    </row>
    <row r="84" spans="1:3" x14ac:dyDescent="0.25">
      <c r="A84" s="11" t="s">
        <v>37</v>
      </c>
      <c r="B84" s="9">
        <v>45089</v>
      </c>
      <c r="C84">
        <v>0</v>
      </c>
    </row>
    <row r="85" spans="1:3" x14ac:dyDescent="0.25">
      <c r="A85" s="11" t="s">
        <v>37</v>
      </c>
      <c r="B85" s="9">
        <v>45119</v>
      </c>
      <c r="C85">
        <v>10.366666666666667</v>
      </c>
    </row>
    <row r="86" spans="1:3" x14ac:dyDescent="0.25">
      <c r="A86" s="11" t="s">
        <v>37</v>
      </c>
      <c r="B86" s="9">
        <v>45149</v>
      </c>
      <c r="C86">
        <v>14.833333333333334</v>
      </c>
    </row>
    <row r="87" spans="1:3" x14ac:dyDescent="0.25">
      <c r="A87" s="11" t="s">
        <v>37</v>
      </c>
      <c r="B87" s="9">
        <v>45181</v>
      </c>
      <c r="C87">
        <v>14.800000000000002</v>
      </c>
    </row>
    <row r="88" spans="1:3" x14ac:dyDescent="0.25">
      <c r="A88" s="11" t="s">
        <v>37</v>
      </c>
      <c r="B88" s="9">
        <v>45210</v>
      </c>
      <c r="C88">
        <v>14.833333333333334</v>
      </c>
    </row>
    <row r="89" spans="1:3" x14ac:dyDescent="0.25">
      <c r="A89" s="11" t="s">
        <v>37</v>
      </c>
      <c r="B89" s="9">
        <v>45243</v>
      </c>
      <c r="C89">
        <v>14.333333333333334</v>
      </c>
    </row>
    <row r="90" spans="1:3" x14ac:dyDescent="0.25">
      <c r="A90" s="11" t="s">
        <v>37</v>
      </c>
      <c r="B90" s="9">
        <v>45272</v>
      </c>
      <c r="C90">
        <v>14.9</v>
      </c>
    </row>
    <row r="91" spans="1:3" x14ac:dyDescent="0.25">
      <c r="A91" s="11" t="s">
        <v>37</v>
      </c>
      <c r="B91" s="9">
        <v>45306</v>
      </c>
      <c r="C91">
        <v>18.333333333333332</v>
      </c>
    </row>
    <row r="92" spans="1:3" x14ac:dyDescent="0.25">
      <c r="A92" s="11" t="s">
        <v>37</v>
      </c>
      <c r="B92" s="9">
        <v>45337</v>
      </c>
      <c r="C92">
        <v>22.833333333333332</v>
      </c>
    </row>
    <row r="93" spans="1:3" x14ac:dyDescent="0.25">
      <c r="A93" s="11" t="s">
        <v>37</v>
      </c>
      <c r="B93" s="9">
        <v>45366</v>
      </c>
      <c r="C93">
        <v>35.5</v>
      </c>
    </row>
    <row r="94" spans="1:3" x14ac:dyDescent="0.25">
      <c r="A94" s="11" t="s">
        <v>37</v>
      </c>
      <c r="B94" s="9">
        <v>45397</v>
      </c>
      <c r="C94">
        <v>37.733333333333334</v>
      </c>
    </row>
    <row r="95" spans="1:3" x14ac:dyDescent="0.25">
      <c r="A95" s="11" t="s">
        <v>37</v>
      </c>
      <c r="B95" s="9">
        <v>45428</v>
      </c>
      <c r="C95">
        <v>39.333333333333336</v>
      </c>
    </row>
    <row r="96" spans="1:3" x14ac:dyDescent="0.25">
      <c r="A96" s="11" t="s">
        <v>37</v>
      </c>
      <c r="B96" s="9">
        <v>45461</v>
      </c>
      <c r="C96">
        <v>39.700000000000003</v>
      </c>
    </row>
    <row r="97" spans="1:3" x14ac:dyDescent="0.25">
      <c r="A97" s="11" t="s">
        <v>37</v>
      </c>
      <c r="B97" s="9">
        <v>45491</v>
      </c>
      <c r="C97">
        <v>39.666666666666664</v>
      </c>
    </row>
    <row r="98" spans="1:3" x14ac:dyDescent="0.25">
      <c r="A98" s="11" t="s">
        <v>37</v>
      </c>
      <c r="B98" s="9">
        <v>45525</v>
      </c>
      <c r="C98">
        <v>39.766666666666666</v>
      </c>
    </row>
    <row r="99" spans="1:3" x14ac:dyDescent="0.25">
      <c r="A99" s="11" t="s">
        <v>37</v>
      </c>
      <c r="B99" s="9">
        <v>45556</v>
      </c>
      <c r="C99">
        <v>39.333333333333336</v>
      </c>
    </row>
    <row r="100" spans="1:3" x14ac:dyDescent="0.25">
      <c r="A100" s="11" t="s">
        <v>37</v>
      </c>
      <c r="B100" s="9">
        <v>45586</v>
      </c>
      <c r="C100">
        <v>39.533333333333331</v>
      </c>
    </row>
    <row r="101" spans="1:3" x14ac:dyDescent="0.25">
      <c r="A101" s="11" t="s">
        <v>37</v>
      </c>
      <c r="B101" s="9">
        <v>45618</v>
      </c>
      <c r="C101">
        <v>39.56666666666667</v>
      </c>
    </row>
    <row r="102" spans="1:3" x14ac:dyDescent="0.25">
      <c r="A102" s="11" t="s">
        <v>37</v>
      </c>
      <c r="B102" s="9">
        <v>45644</v>
      </c>
      <c r="C102">
        <v>39.43333333333333</v>
      </c>
    </row>
    <row r="103" spans="1:3" x14ac:dyDescent="0.25">
      <c r="A103" s="11" t="s">
        <v>37</v>
      </c>
      <c r="B103" s="9">
        <v>45678</v>
      </c>
      <c r="C103">
        <v>39.43333333333333</v>
      </c>
    </row>
    <row r="104" spans="1:3" x14ac:dyDescent="0.25">
      <c r="A104" s="11" t="s">
        <v>37</v>
      </c>
      <c r="B104" s="9">
        <v>45711</v>
      </c>
      <c r="C104">
        <v>41.166666666666664</v>
      </c>
    </row>
    <row r="105" spans="1:3" x14ac:dyDescent="0.25">
      <c r="A105" s="11" t="s">
        <v>37</v>
      </c>
      <c r="B105" s="9">
        <v>45741</v>
      </c>
      <c r="C105">
        <v>42</v>
      </c>
    </row>
    <row r="106" spans="1:3" x14ac:dyDescent="0.25">
      <c r="A106" s="11" t="s">
        <v>37</v>
      </c>
      <c r="B106" s="9">
        <v>45772</v>
      </c>
      <c r="C106">
        <v>44.566666666666663</v>
      </c>
    </row>
    <row r="107" spans="1:3" x14ac:dyDescent="0.25">
      <c r="A107" s="11" t="s">
        <v>37</v>
      </c>
      <c r="B107" s="9">
        <v>45802</v>
      </c>
      <c r="C107">
        <v>50.566666666666663</v>
      </c>
    </row>
  </sheetData>
  <mergeCells count="3">
    <mergeCell ref="C1:E1"/>
    <mergeCell ref="H1:J1"/>
    <mergeCell ref="N1: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PSup R5</vt:lpstr>
      <vt:lpstr>PSup R4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Diego Vidal Santos</cp:lastModifiedBy>
  <dcterms:modified xsi:type="dcterms:W3CDTF">2025-06-26T17:05:26Z</dcterms:modified>
</cp:coreProperties>
</file>