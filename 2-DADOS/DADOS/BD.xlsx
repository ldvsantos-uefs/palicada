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vidal\Downloads\DADOS\"/>
    </mc:Choice>
  </mc:AlternateContent>
  <xr:revisionPtr revIDLastSave="0" documentId="13_ncr:1_{1CD1DAB8-D6AC-417C-97CE-1981B376173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Sup R5" sheetId="1" r:id="rId1"/>
    <sheet name="PSup R4" sheetId="2" r:id="rId2"/>
    <sheet name="GRAFIC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3" l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9" i="3"/>
  <c r="F20" i="3"/>
  <c r="F21" i="3"/>
  <c r="F22" i="3"/>
  <c r="F23" i="3"/>
  <c r="F24" i="3"/>
  <c r="F27" i="3"/>
  <c r="F28" i="3"/>
  <c r="F29" i="3"/>
  <c r="F30" i="3"/>
  <c r="F32" i="3"/>
  <c r="F33" i="3"/>
  <c r="F36" i="3"/>
  <c r="F37" i="3"/>
  <c r="F38" i="3"/>
  <c r="F39" i="3"/>
  <c r="F40" i="3"/>
  <c r="F43" i="3"/>
  <c r="F45" i="3"/>
  <c r="F46" i="3"/>
  <c r="F47" i="3"/>
  <c r="F48" i="3"/>
  <c r="F51" i="3"/>
  <c r="F52" i="3"/>
  <c r="F54" i="3"/>
  <c r="F57" i="3"/>
  <c r="F58" i="3"/>
  <c r="F59" i="3"/>
  <c r="F60" i="3"/>
  <c r="F61" i="3"/>
  <c r="F62" i="3"/>
  <c r="F64" i="3"/>
  <c r="F66" i="3"/>
  <c r="F67" i="3"/>
  <c r="F69" i="3"/>
  <c r="F70" i="3"/>
  <c r="F71" i="3"/>
  <c r="F72" i="3"/>
  <c r="F73" i="3"/>
  <c r="F4" i="3"/>
  <c r="F3" i="3"/>
</calcChain>
</file>

<file path=xl/sharedStrings.xml><?xml version="1.0" encoding="utf-8"?>
<sst xmlns="http://schemas.openxmlformats.org/spreadsheetml/2006/main" count="151" uniqueCount="44">
  <si>
    <t>Sedimentação Paliçada Superior Ravina 5</t>
  </si>
  <si>
    <t>Sedimentação Paliçada Intermediaria Ravina 5</t>
  </si>
  <si>
    <t>Sedimentação Paliçada Inferior Ravina 5</t>
  </si>
  <si>
    <t>Precipitação</t>
  </si>
  <si>
    <t xml:space="preserve">Verg 1 </t>
  </si>
  <si>
    <t xml:space="preserve">Verg 2 </t>
  </si>
  <si>
    <t>Verg 3</t>
  </si>
  <si>
    <t>****** -- 11/06/2023</t>
  </si>
  <si>
    <t>12/06/2023   -- 11/07/2023</t>
  </si>
  <si>
    <t>12/07/2023   -- 11/08/2023</t>
  </si>
  <si>
    <t>12/08/2023   -- 11/09/2023</t>
  </si>
  <si>
    <t>12/09/2023   -- 11/10/2023</t>
  </si>
  <si>
    <t>12/10/2023   -- 11/11/2023</t>
  </si>
  <si>
    <t>12/11/2023 -- 12/12/2023</t>
  </si>
  <si>
    <t>12/12/2023   -- 15/01/2024</t>
  </si>
  <si>
    <t>16/01/2024  -- 15/02/2024</t>
  </si>
  <si>
    <t>16/02/2024   -- 15/03/2024</t>
  </si>
  <si>
    <t>16/03/2024   -- 15/04/2024</t>
  </si>
  <si>
    <t>16/04/2024   -- 16/05/2024</t>
  </si>
  <si>
    <t>17/05/2024   -- 18/06/2024</t>
  </si>
  <si>
    <t>19/06/2024   -- 18/07/2024</t>
  </si>
  <si>
    <t>19/07/2024   -- 21/08/2024</t>
  </si>
  <si>
    <t>22/08/2024   -- 21/09/2024</t>
  </si>
  <si>
    <t>22/09/2024   -- 21/10/2024</t>
  </si>
  <si>
    <t>22/10/2024   -- 22/11/2024</t>
  </si>
  <si>
    <t>23/11/2024 -- 18/12/2024</t>
  </si>
  <si>
    <t xml:space="preserve">19/12/2024   -- 21/01/2025 </t>
  </si>
  <si>
    <t>22/01/2025   -- 23/02/2025</t>
  </si>
  <si>
    <t>24/02/2025   -- 25/03/2025</t>
  </si>
  <si>
    <t>26/03/2025   -- 25/04/2025</t>
  </si>
  <si>
    <t>26/04/2025   -- 25/05/2025</t>
  </si>
  <si>
    <t>Sedimentação Paliçada Superior Ravina 4</t>
  </si>
  <si>
    <t>Sedimentação Paliçada Intermediaria Ravina 4</t>
  </si>
  <si>
    <t>Sedimentação Paliçada Inferior Ravina 4</t>
  </si>
  <si>
    <t>**** -- 11/06/2023</t>
  </si>
  <si>
    <t>SUP</t>
  </si>
  <si>
    <t>MED</t>
  </si>
  <si>
    <t>INF</t>
  </si>
  <si>
    <t>MONTH</t>
  </si>
  <si>
    <t>AREA</t>
  </si>
  <si>
    <t>RAINFALL</t>
  </si>
  <si>
    <t>SEDIMENT</t>
  </si>
  <si>
    <t>YEAR</t>
  </si>
  <si>
    <t>FRACIONADO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</si>
</sst>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[$-416]mmm\-yy;@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2" fillId="2" borderId="0" xfId="0" applyFont="1" applyFill="1" applyAlignment="1">
      <alignment horizontal="right"/>
    </xf>
    <xf numFmtId="165" fontId="0" fillId="0" borderId="0" xfId="0" applyNumberFormat="1"/>
    <xf numFmtId="165" fontId="1" fillId="0" borderId="0" xfId="0" applyNumberFormat="1" applyFont="1"/>
    <xf numFmtId="0" fontId="3" fillId="0" borderId="0" xfId="0" applyFont="1"/>
    <xf numFmtId="165" fontId="3" fillId="0" borderId="0" xfId="0" applyNumberFormat="1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R55"/>
  <sheetViews>
    <sheetView topLeftCell="A3" workbookViewId="0">
      <selection activeCell="G3" sqref="G1:G1048576"/>
    </sheetView>
  </sheetViews>
  <sheetFormatPr defaultColWidth="12.6640625" defaultRowHeight="15.75" customHeight="1" x14ac:dyDescent="0.25"/>
  <cols>
    <col min="2" max="2" width="12.6640625" style="6"/>
    <col min="7" max="7" width="12.6640625" style="6"/>
    <col min="17" max="17" width="23.21875" customWidth="1"/>
  </cols>
  <sheetData>
    <row r="2" spans="2:18" x14ac:dyDescent="0.25">
      <c r="C2" s="10" t="s">
        <v>0</v>
      </c>
      <c r="D2" s="11"/>
      <c r="E2" s="11"/>
      <c r="H2" s="10" t="s">
        <v>1</v>
      </c>
      <c r="I2" s="11"/>
      <c r="J2" s="11"/>
      <c r="M2" s="10" t="s">
        <v>2</v>
      </c>
      <c r="N2" s="11"/>
      <c r="O2" s="11"/>
      <c r="Q2" s="1" t="s">
        <v>3</v>
      </c>
    </row>
    <row r="4" spans="2:18" x14ac:dyDescent="0.25">
      <c r="C4" s="1" t="s">
        <v>4</v>
      </c>
      <c r="D4" s="1" t="s">
        <v>5</v>
      </c>
      <c r="E4" s="1" t="s">
        <v>6</v>
      </c>
      <c r="H4" s="1" t="s">
        <v>4</v>
      </c>
      <c r="I4" s="1" t="s">
        <v>5</v>
      </c>
      <c r="J4" s="1" t="s">
        <v>6</v>
      </c>
      <c r="M4" s="1" t="s">
        <v>4</v>
      </c>
      <c r="N4" s="1" t="s">
        <v>5</v>
      </c>
      <c r="O4" s="1" t="s">
        <v>6</v>
      </c>
    </row>
    <row r="5" spans="2:18" x14ac:dyDescent="0.25">
      <c r="C5" s="1"/>
      <c r="D5" s="1"/>
      <c r="E5" s="1"/>
      <c r="H5" s="1"/>
      <c r="I5" s="1"/>
      <c r="J5" s="1"/>
      <c r="M5" s="1"/>
      <c r="N5" s="1"/>
      <c r="O5" s="1"/>
    </row>
    <row r="6" spans="2:18" x14ac:dyDescent="0.25">
      <c r="B6" s="7">
        <v>45089</v>
      </c>
      <c r="C6" s="1">
        <v>0</v>
      </c>
      <c r="D6" s="1">
        <v>0</v>
      </c>
      <c r="E6" s="1">
        <v>0</v>
      </c>
      <c r="G6" s="7">
        <v>45089</v>
      </c>
      <c r="H6" s="1">
        <v>0</v>
      </c>
      <c r="I6" s="1">
        <v>0</v>
      </c>
      <c r="J6" s="1">
        <v>0</v>
      </c>
      <c r="L6" s="2">
        <v>45089</v>
      </c>
      <c r="M6" s="1">
        <v>0</v>
      </c>
      <c r="N6" s="1">
        <v>0</v>
      </c>
      <c r="O6" s="1">
        <v>0</v>
      </c>
      <c r="Q6" s="3" t="s">
        <v>7</v>
      </c>
      <c r="R6" s="1">
        <v>0</v>
      </c>
    </row>
    <row r="7" spans="2:18" x14ac:dyDescent="0.25">
      <c r="B7" s="7">
        <v>45119</v>
      </c>
      <c r="C7" s="1">
        <v>4.5</v>
      </c>
      <c r="D7" s="1">
        <v>9.1999999999999993</v>
      </c>
      <c r="E7" s="1">
        <v>6.5</v>
      </c>
      <c r="G7" s="7">
        <v>45119</v>
      </c>
      <c r="H7" s="1">
        <v>3</v>
      </c>
      <c r="I7" s="1">
        <v>3.4</v>
      </c>
      <c r="J7" s="1">
        <v>7.8</v>
      </c>
      <c r="L7" s="2">
        <v>45119</v>
      </c>
      <c r="M7" s="1">
        <v>4.5999999999999996</v>
      </c>
      <c r="N7" s="1">
        <v>12.2</v>
      </c>
      <c r="O7" s="1">
        <v>8.9</v>
      </c>
      <c r="Q7" s="1" t="s">
        <v>8</v>
      </c>
      <c r="R7" s="1">
        <v>222.6</v>
      </c>
    </row>
    <row r="8" spans="2:18" x14ac:dyDescent="0.25">
      <c r="B8" s="7">
        <v>45149</v>
      </c>
      <c r="C8" s="1">
        <v>7</v>
      </c>
      <c r="D8" s="1">
        <v>9.8000000000000007</v>
      </c>
      <c r="E8" s="1">
        <v>7</v>
      </c>
      <c r="G8" s="7">
        <v>45149</v>
      </c>
      <c r="H8" s="1">
        <v>5.5</v>
      </c>
      <c r="I8" s="1">
        <v>12.7</v>
      </c>
      <c r="J8" s="1">
        <v>13.6</v>
      </c>
      <c r="L8" s="2">
        <v>45149</v>
      </c>
      <c r="M8" s="1">
        <v>7.2</v>
      </c>
      <c r="N8" s="1">
        <v>15.6</v>
      </c>
      <c r="O8" s="1">
        <v>11.9</v>
      </c>
      <c r="Q8" s="1" t="s">
        <v>9</v>
      </c>
      <c r="R8" s="1">
        <v>116.8</v>
      </c>
    </row>
    <row r="9" spans="2:18" x14ac:dyDescent="0.25">
      <c r="B9" s="7">
        <v>45181</v>
      </c>
      <c r="C9" s="1">
        <v>7.3</v>
      </c>
      <c r="D9" s="1">
        <v>9.5</v>
      </c>
      <c r="E9" s="1">
        <v>7.6</v>
      </c>
      <c r="G9" s="7">
        <v>45181</v>
      </c>
      <c r="H9" s="1">
        <v>9</v>
      </c>
      <c r="I9" s="1">
        <v>13.7</v>
      </c>
      <c r="J9" s="1">
        <v>14.6</v>
      </c>
      <c r="L9" s="2">
        <v>45181</v>
      </c>
      <c r="M9" s="1">
        <v>11.2</v>
      </c>
      <c r="N9" s="1">
        <v>16.3</v>
      </c>
      <c r="O9" s="1">
        <v>9.4</v>
      </c>
      <c r="Q9" s="1" t="s">
        <v>10</v>
      </c>
      <c r="R9" s="1">
        <v>46.2</v>
      </c>
    </row>
    <row r="10" spans="2:18" x14ac:dyDescent="0.25">
      <c r="B10" s="7">
        <v>45210</v>
      </c>
      <c r="C10" s="1">
        <v>7</v>
      </c>
      <c r="D10" s="1">
        <v>9.8000000000000007</v>
      </c>
      <c r="E10" s="1">
        <v>7</v>
      </c>
      <c r="G10" s="7">
        <v>45210</v>
      </c>
      <c r="H10" s="1">
        <v>9</v>
      </c>
      <c r="I10" s="1">
        <v>13.7</v>
      </c>
      <c r="J10" s="1">
        <v>14.6</v>
      </c>
      <c r="L10" s="4">
        <v>45210</v>
      </c>
      <c r="M10" s="1">
        <v>10.7</v>
      </c>
      <c r="N10" s="1">
        <v>15.1</v>
      </c>
      <c r="O10" s="1">
        <v>10.9</v>
      </c>
      <c r="Q10" s="1" t="s">
        <v>11</v>
      </c>
      <c r="R10" s="1">
        <v>36.4</v>
      </c>
    </row>
    <row r="11" spans="2:18" x14ac:dyDescent="0.25">
      <c r="B11" s="7">
        <v>45243</v>
      </c>
      <c r="C11" s="1">
        <v>7.5</v>
      </c>
      <c r="D11" s="1">
        <v>10.3</v>
      </c>
      <c r="E11" s="1">
        <v>7.5</v>
      </c>
      <c r="G11" s="7">
        <v>45243</v>
      </c>
      <c r="H11" s="1">
        <v>11.5</v>
      </c>
      <c r="I11" s="1">
        <v>14.2</v>
      </c>
      <c r="J11" s="1">
        <v>13.1</v>
      </c>
      <c r="L11" s="4">
        <v>45243</v>
      </c>
      <c r="M11" s="1">
        <v>11.2</v>
      </c>
      <c r="N11" s="1">
        <v>15.6</v>
      </c>
      <c r="O11" s="1">
        <v>12.4</v>
      </c>
      <c r="Q11" s="1" t="s">
        <v>12</v>
      </c>
      <c r="R11" s="1">
        <v>0</v>
      </c>
    </row>
    <row r="12" spans="2:18" x14ac:dyDescent="0.25">
      <c r="B12" s="7">
        <v>45272</v>
      </c>
      <c r="C12" s="1">
        <v>7.3</v>
      </c>
      <c r="D12" s="1">
        <v>11.3</v>
      </c>
      <c r="E12" s="1">
        <v>7.5</v>
      </c>
      <c r="G12" s="7">
        <v>45272</v>
      </c>
      <c r="H12" s="1">
        <v>11.5</v>
      </c>
      <c r="I12" s="1">
        <v>14.7</v>
      </c>
      <c r="J12" s="1">
        <v>14.6</v>
      </c>
      <c r="L12" s="4">
        <v>45272</v>
      </c>
      <c r="M12" s="1">
        <v>11.7</v>
      </c>
      <c r="N12" s="1">
        <v>16.5</v>
      </c>
      <c r="O12" s="1">
        <v>12.9</v>
      </c>
      <c r="Q12" s="1" t="s">
        <v>13</v>
      </c>
      <c r="R12" s="1">
        <v>21.8</v>
      </c>
    </row>
    <row r="13" spans="2:18" x14ac:dyDescent="0.25">
      <c r="B13" s="7">
        <v>45306</v>
      </c>
      <c r="C13" s="1">
        <v>9</v>
      </c>
      <c r="D13" s="1">
        <v>13.8</v>
      </c>
      <c r="E13" s="1">
        <v>11.5</v>
      </c>
      <c r="G13" s="7">
        <v>45306</v>
      </c>
      <c r="H13" s="1">
        <v>15.5</v>
      </c>
      <c r="I13" s="1">
        <v>18.7</v>
      </c>
      <c r="J13" s="1">
        <v>18.600000000000001</v>
      </c>
      <c r="L13" s="2">
        <v>45306</v>
      </c>
      <c r="M13" s="1">
        <v>14.7</v>
      </c>
      <c r="N13" s="1">
        <v>18.100000000000001</v>
      </c>
      <c r="O13" s="1">
        <v>14.4</v>
      </c>
      <c r="Q13" s="1" t="s">
        <v>14</v>
      </c>
      <c r="R13" s="1">
        <v>60.4</v>
      </c>
    </row>
    <row r="14" spans="2:18" x14ac:dyDescent="0.25">
      <c r="B14" s="7">
        <v>45337</v>
      </c>
      <c r="C14" s="1">
        <v>12.8</v>
      </c>
      <c r="D14" s="1">
        <v>14.6</v>
      </c>
      <c r="E14" s="1">
        <v>13</v>
      </c>
      <c r="G14" s="7">
        <v>45337</v>
      </c>
      <c r="H14" s="1">
        <v>16</v>
      </c>
      <c r="I14" s="1">
        <v>19.2</v>
      </c>
      <c r="J14" s="1">
        <v>19.899999999999999</v>
      </c>
      <c r="L14" s="2">
        <v>45337</v>
      </c>
      <c r="M14" s="1">
        <v>14.2</v>
      </c>
      <c r="N14" s="1">
        <v>20.100000000000001</v>
      </c>
      <c r="O14" s="1">
        <v>15.7</v>
      </c>
      <c r="Q14" s="1" t="s">
        <v>15</v>
      </c>
      <c r="R14" s="1">
        <v>37.200000000000003</v>
      </c>
    </row>
    <row r="15" spans="2:18" x14ac:dyDescent="0.25">
      <c r="B15" s="7">
        <v>45366</v>
      </c>
      <c r="C15" s="1">
        <v>21</v>
      </c>
      <c r="D15" s="1">
        <v>24.8</v>
      </c>
      <c r="E15" s="1">
        <v>19</v>
      </c>
      <c r="G15" s="7">
        <v>45366</v>
      </c>
      <c r="H15" s="1">
        <v>31.5</v>
      </c>
      <c r="I15" s="1">
        <v>37.700000000000003</v>
      </c>
      <c r="J15" s="1">
        <v>33.6</v>
      </c>
      <c r="L15" s="2">
        <v>45366</v>
      </c>
      <c r="M15" s="1">
        <v>19.2</v>
      </c>
      <c r="N15" s="1">
        <v>30.1</v>
      </c>
      <c r="O15" s="1">
        <v>25.9</v>
      </c>
      <c r="Q15" s="1" t="s">
        <v>16</v>
      </c>
      <c r="R15" s="1">
        <v>162.19999999999999</v>
      </c>
    </row>
    <row r="16" spans="2:18" x14ac:dyDescent="0.25">
      <c r="B16" s="7">
        <v>45397</v>
      </c>
      <c r="C16" s="1">
        <v>19.5</v>
      </c>
      <c r="D16" s="1">
        <v>23.8</v>
      </c>
      <c r="E16" s="1">
        <v>19</v>
      </c>
      <c r="G16" s="7">
        <v>45397</v>
      </c>
      <c r="H16" s="1">
        <v>37.5</v>
      </c>
      <c r="I16" s="1">
        <v>37.700000000000003</v>
      </c>
      <c r="J16" s="1">
        <v>35.200000000000003</v>
      </c>
      <c r="L16" s="2">
        <v>45397</v>
      </c>
      <c r="M16" s="1">
        <v>19.7</v>
      </c>
      <c r="N16" s="1">
        <v>30.9</v>
      </c>
      <c r="O16" s="1">
        <v>26.3</v>
      </c>
      <c r="Q16" s="1" t="s">
        <v>17</v>
      </c>
      <c r="R16" s="1">
        <v>156</v>
      </c>
    </row>
    <row r="17" spans="2:18" x14ac:dyDescent="0.25">
      <c r="B17" s="7">
        <v>45428</v>
      </c>
      <c r="C17" s="1">
        <v>21.5</v>
      </c>
      <c r="D17" s="1">
        <v>27.8</v>
      </c>
      <c r="E17" s="1">
        <v>24</v>
      </c>
      <c r="G17" s="7">
        <v>45428</v>
      </c>
      <c r="H17" s="1">
        <v>37.700000000000003</v>
      </c>
      <c r="I17" s="1">
        <v>38.200000000000003</v>
      </c>
      <c r="J17" s="1">
        <v>39.1</v>
      </c>
      <c r="L17" s="2">
        <v>45428</v>
      </c>
      <c r="M17" s="1">
        <v>21.6</v>
      </c>
      <c r="N17" s="1">
        <v>32.700000000000003</v>
      </c>
      <c r="O17" s="1">
        <v>27.1</v>
      </c>
      <c r="Q17" s="1" t="s">
        <v>18</v>
      </c>
      <c r="R17" s="1">
        <v>396.8</v>
      </c>
    </row>
    <row r="18" spans="2:18" x14ac:dyDescent="0.25">
      <c r="B18" s="7">
        <v>45461</v>
      </c>
      <c r="C18" s="1">
        <v>22.1</v>
      </c>
      <c r="D18" s="1">
        <v>27.7</v>
      </c>
      <c r="E18" s="1">
        <v>24.4</v>
      </c>
      <c r="G18" s="7">
        <v>45461</v>
      </c>
      <c r="H18" s="1">
        <v>38</v>
      </c>
      <c r="I18" s="1">
        <v>40.700000000000003</v>
      </c>
      <c r="J18" s="1">
        <v>39.700000000000003</v>
      </c>
      <c r="L18" s="2">
        <v>45461</v>
      </c>
      <c r="M18" s="1">
        <v>21.6</v>
      </c>
      <c r="N18" s="1">
        <v>35</v>
      </c>
      <c r="O18" s="1">
        <v>36.5</v>
      </c>
      <c r="Q18" s="1" t="s">
        <v>19</v>
      </c>
      <c r="R18" s="1">
        <v>341.2</v>
      </c>
    </row>
    <row r="19" spans="2:18" x14ac:dyDescent="0.25">
      <c r="B19" s="7">
        <v>45491</v>
      </c>
      <c r="C19" s="1">
        <v>22</v>
      </c>
      <c r="D19" s="1">
        <v>27.6</v>
      </c>
      <c r="E19" s="1">
        <v>24</v>
      </c>
      <c r="G19" s="7">
        <v>45491</v>
      </c>
      <c r="H19" s="1">
        <v>39</v>
      </c>
      <c r="I19" s="1">
        <v>40.700000000000003</v>
      </c>
      <c r="J19" s="1">
        <v>40.1</v>
      </c>
      <c r="L19" s="2">
        <v>45491</v>
      </c>
      <c r="M19" s="1">
        <v>22.2</v>
      </c>
      <c r="N19" s="1">
        <v>35.700000000000003</v>
      </c>
      <c r="O19" s="1">
        <v>35.9</v>
      </c>
      <c r="Q19" s="1" t="s">
        <v>20</v>
      </c>
      <c r="R19" s="1">
        <v>149.6</v>
      </c>
    </row>
    <row r="20" spans="2:18" x14ac:dyDescent="0.25">
      <c r="B20" s="7">
        <v>45525</v>
      </c>
      <c r="C20" s="1">
        <v>23</v>
      </c>
      <c r="D20" s="1">
        <v>27.6</v>
      </c>
      <c r="E20" s="1">
        <v>23.9</v>
      </c>
      <c r="G20" s="7">
        <v>45525</v>
      </c>
      <c r="H20" s="1">
        <v>39</v>
      </c>
      <c r="I20" s="1">
        <v>40.700000000000003</v>
      </c>
      <c r="J20" s="1">
        <v>40.1</v>
      </c>
      <c r="L20" s="2">
        <v>45525</v>
      </c>
      <c r="M20" s="1">
        <v>22.2</v>
      </c>
      <c r="N20" s="1">
        <v>35.6</v>
      </c>
      <c r="O20" s="1">
        <v>35.4</v>
      </c>
      <c r="Q20" s="1" t="s">
        <v>21</v>
      </c>
      <c r="R20" s="1">
        <v>95.8</v>
      </c>
    </row>
    <row r="21" spans="2:18" x14ac:dyDescent="0.25">
      <c r="B21" s="7">
        <v>45556</v>
      </c>
      <c r="C21" s="1">
        <v>22.5</v>
      </c>
      <c r="D21" s="1">
        <v>26.8</v>
      </c>
      <c r="E21" s="1">
        <v>24</v>
      </c>
      <c r="G21" s="7">
        <v>45556</v>
      </c>
      <c r="H21" s="1">
        <v>39.5</v>
      </c>
      <c r="I21" s="1">
        <v>40.700000000000003</v>
      </c>
      <c r="J21" s="1">
        <v>40.1</v>
      </c>
      <c r="L21" s="2">
        <v>45556</v>
      </c>
      <c r="M21" s="1">
        <v>22.2</v>
      </c>
      <c r="N21" s="1">
        <v>36.1</v>
      </c>
      <c r="O21" s="1">
        <v>35.4</v>
      </c>
      <c r="Q21" s="1" t="s">
        <v>22</v>
      </c>
      <c r="R21" s="1">
        <v>5.8</v>
      </c>
    </row>
    <row r="22" spans="2:18" x14ac:dyDescent="0.25">
      <c r="B22" s="7">
        <v>45586</v>
      </c>
      <c r="C22" s="1">
        <v>22.1</v>
      </c>
      <c r="D22" s="1">
        <v>26.9</v>
      </c>
      <c r="E22" s="1">
        <v>23.9</v>
      </c>
      <c r="G22" s="7">
        <v>45586</v>
      </c>
      <c r="H22" s="1">
        <v>39.799999999999997</v>
      </c>
      <c r="I22" s="1">
        <v>40.5</v>
      </c>
      <c r="J22" s="1">
        <v>39.700000000000003</v>
      </c>
      <c r="L22" s="4">
        <v>45586</v>
      </c>
      <c r="M22" s="1">
        <v>22.2</v>
      </c>
      <c r="N22" s="1">
        <v>35.700000000000003</v>
      </c>
      <c r="O22" s="1">
        <v>36.6</v>
      </c>
      <c r="Q22" s="1" t="s">
        <v>23</v>
      </c>
      <c r="R22" s="1">
        <v>19</v>
      </c>
    </row>
    <row r="23" spans="2:18" x14ac:dyDescent="0.25">
      <c r="B23" s="7">
        <v>45618</v>
      </c>
      <c r="C23" s="1">
        <v>22.4</v>
      </c>
      <c r="D23" s="1">
        <v>27</v>
      </c>
      <c r="E23" s="1">
        <v>24</v>
      </c>
      <c r="G23" s="7">
        <v>45618</v>
      </c>
      <c r="H23" s="1">
        <v>40.4</v>
      </c>
      <c r="I23" s="1">
        <v>41.1</v>
      </c>
      <c r="J23" s="1">
        <v>40.299999999999997</v>
      </c>
      <c r="L23" s="4">
        <v>45618</v>
      </c>
      <c r="M23" s="1">
        <v>22.6</v>
      </c>
      <c r="N23" s="1">
        <v>35.6</v>
      </c>
      <c r="O23" s="1">
        <v>37.700000000000003</v>
      </c>
      <c r="Q23" s="1" t="s">
        <v>24</v>
      </c>
      <c r="R23" s="1">
        <v>11.8</v>
      </c>
    </row>
    <row r="24" spans="2:18" x14ac:dyDescent="0.25">
      <c r="B24" s="7">
        <v>45644</v>
      </c>
      <c r="C24" s="1">
        <v>22.5</v>
      </c>
      <c r="D24" s="1">
        <v>26.8</v>
      </c>
      <c r="E24" s="1">
        <v>23.9</v>
      </c>
      <c r="G24" s="7">
        <v>45644</v>
      </c>
      <c r="H24" s="1">
        <v>40.4</v>
      </c>
      <c r="I24" s="1">
        <v>40.9</v>
      </c>
      <c r="J24" s="1">
        <v>40.200000000000003</v>
      </c>
      <c r="L24" s="4">
        <v>45644</v>
      </c>
      <c r="M24" s="1">
        <v>22.2</v>
      </c>
      <c r="N24" s="1">
        <v>35.6</v>
      </c>
      <c r="O24" s="1">
        <v>37.4</v>
      </c>
      <c r="Q24" s="1" t="s">
        <v>25</v>
      </c>
      <c r="R24" s="1">
        <v>13.8</v>
      </c>
    </row>
    <row r="25" spans="2:18" x14ac:dyDescent="0.25">
      <c r="B25" s="7">
        <v>45678</v>
      </c>
      <c r="C25" s="1">
        <v>25.5</v>
      </c>
      <c r="D25" s="1">
        <v>26.8</v>
      </c>
      <c r="E25" s="1">
        <v>23.9</v>
      </c>
      <c r="G25" s="7">
        <v>45678</v>
      </c>
      <c r="H25" s="1">
        <v>45.3</v>
      </c>
      <c r="I25" s="1">
        <v>43.2</v>
      </c>
      <c r="J25" s="1">
        <v>44.1</v>
      </c>
      <c r="L25" s="2">
        <v>45678</v>
      </c>
      <c r="M25" s="1">
        <v>22.4</v>
      </c>
      <c r="N25" s="1">
        <v>35.799999999999997</v>
      </c>
      <c r="O25" s="1">
        <v>37.6</v>
      </c>
      <c r="Q25" s="1" t="s">
        <v>26</v>
      </c>
      <c r="R25" s="1">
        <v>80</v>
      </c>
    </row>
    <row r="26" spans="2:18" x14ac:dyDescent="0.25">
      <c r="B26" s="7">
        <v>45711</v>
      </c>
      <c r="C26" s="1">
        <v>27.5</v>
      </c>
      <c r="D26" s="1">
        <v>27.8</v>
      </c>
      <c r="E26" s="1">
        <v>24.1</v>
      </c>
      <c r="G26" s="7">
        <v>45711</v>
      </c>
      <c r="H26" s="1">
        <v>46</v>
      </c>
      <c r="I26" s="1">
        <v>46.3</v>
      </c>
      <c r="J26" s="1">
        <v>44.9</v>
      </c>
      <c r="L26" s="2">
        <v>45711</v>
      </c>
      <c r="M26" s="1">
        <v>23.3</v>
      </c>
      <c r="N26" s="1">
        <v>36.5</v>
      </c>
      <c r="O26" s="1">
        <v>38</v>
      </c>
      <c r="Q26" s="1" t="s">
        <v>27</v>
      </c>
      <c r="R26" s="1">
        <v>34</v>
      </c>
    </row>
    <row r="27" spans="2:18" x14ac:dyDescent="0.25">
      <c r="B27" s="7">
        <v>45741</v>
      </c>
      <c r="C27" s="1">
        <v>31.5</v>
      </c>
      <c r="D27" s="1">
        <v>30.8</v>
      </c>
      <c r="E27" s="1">
        <v>24.5</v>
      </c>
      <c r="G27" s="7">
        <v>45741</v>
      </c>
      <c r="H27" s="1">
        <v>49.2</v>
      </c>
      <c r="I27" s="1">
        <v>49.5</v>
      </c>
      <c r="J27" s="1">
        <v>46.6</v>
      </c>
      <c r="L27" s="2">
        <v>45741</v>
      </c>
      <c r="M27" s="1">
        <v>25.2</v>
      </c>
      <c r="N27" s="1">
        <v>37.6</v>
      </c>
      <c r="O27" s="1">
        <v>38.799999999999997</v>
      </c>
      <c r="Q27" s="1" t="s">
        <v>28</v>
      </c>
      <c r="R27" s="1">
        <v>89.4</v>
      </c>
    </row>
    <row r="28" spans="2:18" x14ac:dyDescent="0.25">
      <c r="B28" s="7">
        <v>45772</v>
      </c>
      <c r="C28" s="1">
        <v>33.5</v>
      </c>
      <c r="D28" s="1">
        <v>33.799999999999997</v>
      </c>
      <c r="E28" s="1">
        <v>27.8</v>
      </c>
      <c r="G28" s="7">
        <v>45772</v>
      </c>
      <c r="H28" s="1">
        <v>50.2</v>
      </c>
      <c r="I28" s="1">
        <v>51.3</v>
      </c>
      <c r="J28" s="1">
        <v>51.5</v>
      </c>
      <c r="L28" s="2">
        <v>45772</v>
      </c>
      <c r="M28" s="1">
        <v>27.9</v>
      </c>
      <c r="N28" s="1">
        <v>40.5</v>
      </c>
      <c r="O28" s="1">
        <v>40.299999999999997</v>
      </c>
      <c r="Q28" s="1" t="s">
        <v>29</v>
      </c>
      <c r="R28" s="1">
        <v>112</v>
      </c>
    </row>
    <row r="29" spans="2:18" x14ac:dyDescent="0.25">
      <c r="B29" s="7">
        <v>45802</v>
      </c>
      <c r="C29" s="1">
        <v>36.5</v>
      </c>
      <c r="D29" s="1">
        <v>37.799999999999997</v>
      </c>
      <c r="E29" s="1">
        <v>29.5</v>
      </c>
      <c r="G29" s="7">
        <v>45802</v>
      </c>
      <c r="H29" s="1">
        <v>52.2</v>
      </c>
      <c r="I29" s="1">
        <v>52</v>
      </c>
      <c r="J29" s="1">
        <v>54.1</v>
      </c>
      <c r="L29" s="2">
        <v>45802</v>
      </c>
      <c r="M29" s="1">
        <v>33.1</v>
      </c>
      <c r="N29" s="1">
        <v>48.6</v>
      </c>
      <c r="O29" s="1">
        <v>46.8</v>
      </c>
      <c r="Q29" s="1" t="s">
        <v>30</v>
      </c>
      <c r="R29" s="1">
        <v>359</v>
      </c>
    </row>
    <row r="32" spans="2:18" x14ac:dyDescent="0.25">
      <c r="L32" s="2"/>
    </row>
    <row r="33" spans="12:12" x14ac:dyDescent="0.25">
      <c r="L33" s="2"/>
    </row>
    <row r="34" spans="12:12" x14ac:dyDescent="0.25">
      <c r="L34" s="2"/>
    </row>
    <row r="35" spans="12:12" x14ac:dyDescent="0.25">
      <c r="L35" s="2"/>
    </row>
    <row r="36" spans="12:12" x14ac:dyDescent="0.25">
      <c r="L36" s="4"/>
    </row>
    <row r="37" spans="12:12" x14ac:dyDescent="0.25">
      <c r="L37" s="4"/>
    </row>
    <row r="38" spans="12:12" x14ac:dyDescent="0.25">
      <c r="L38" s="4"/>
    </row>
    <row r="39" spans="12:12" x14ac:dyDescent="0.25">
      <c r="L39" s="2"/>
    </row>
    <row r="40" spans="12:12" x14ac:dyDescent="0.25">
      <c r="L40" s="2"/>
    </row>
    <row r="41" spans="12:12" x14ac:dyDescent="0.25">
      <c r="L41" s="2"/>
    </row>
    <row r="42" spans="12:12" x14ac:dyDescent="0.25">
      <c r="L42" s="2"/>
    </row>
    <row r="43" spans="12:12" x14ac:dyDescent="0.25">
      <c r="L43" s="2"/>
    </row>
    <row r="44" spans="12:12" x14ac:dyDescent="0.25">
      <c r="L44" s="2"/>
    </row>
    <row r="45" spans="12:12" x14ac:dyDescent="0.25">
      <c r="L45" s="2"/>
    </row>
    <row r="46" spans="12:12" x14ac:dyDescent="0.25">
      <c r="L46" s="2"/>
    </row>
    <row r="47" spans="12:12" x14ac:dyDescent="0.25">
      <c r="L47" s="2"/>
    </row>
    <row r="48" spans="12:12" x14ac:dyDescent="0.25">
      <c r="L48" s="4"/>
    </row>
    <row r="49" spans="12:12" x14ac:dyDescent="0.25">
      <c r="L49" s="4"/>
    </row>
    <row r="50" spans="12:12" x14ac:dyDescent="0.25">
      <c r="L50" s="4"/>
    </row>
    <row r="51" spans="12:12" x14ac:dyDescent="0.25">
      <c r="L51" s="2"/>
    </row>
    <row r="52" spans="12:12" x14ac:dyDescent="0.25">
      <c r="L52" s="2"/>
    </row>
    <row r="53" spans="12:12" x14ac:dyDescent="0.25">
      <c r="L53" s="2"/>
    </row>
    <row r="54" spans="12:12" x14ac:dyDescent="0.25">
      <c r="L54" s="2"/>
    </row>
    <row r="55" spans="12:12" x14ac:dyDescent="0.25">
      <c r="L55" s="2"/>
    </row>
  </sheetData>
  <mergeCells count="3">
    <mergeCell ref="C2:E2"/>
    <mergeCell ref="H2:J2"/>
    <mergeCell ref="M2:O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R28"/>
  <sheetViews>
    <sheetView topLeftCell="A4" workbookViewId="0">
      <selection activeCell="D7" sqref="D7"/>
    </sheetView>
  </sheetViews>
  <sheetFormatPr defaultColWidth="12.6640625" defaultRowHeight="15.75" customHeight="1" x14ac:dyDescent="0.25"/>
  <cols>
    <col min="2" max="2" width="12.6640625" style="6"/>
    <col min="7" max="7" width="12.6640625" style="6"/>
    <col min="17" max="17" width="25.21875" customWidth="1"/>
  </cols>
  <sheetData>
    <row r="1" spans="2:18" x14ac:dyDescent="0.25">
      <c r="C1" s="10" t="s">
        <v>31</v>
      </c>
      <c r="D1" s="11"/>
      <c r="E1" s="11"/>
      <c r="H1" s="10" t="s">
        <v>32</v>
      </c>
      <c r="I1" s="11"/>
      <c r="J1" s="11"/>
      <c r="M1" s="10" t="s">
        <v>33</v>
      </c>
      <c r="N1" s="11"/>
      <c r="O1" s="11"/>
    </row>
    <row r="3" spans="2:18" x14ac:dyDescent="0.25">
      <c r="C3" s="1" t="s">
        <v>4</v>
      </c>
      <c r="D3" s="1" t="s">
        <v>5</v>
      </c>
      <c r="E3" s="1" t="s">
        <v>6</v>
      </c>
      <c r="H3" s="1" t="s">
        <v>4</v>
      </c>
      <c r="I3" s="1" t="s">
        <v>5</v>
      </c>
      <c r="J3" s="1" t="s">
        <v>6</v>
      </c>
      <c r="M3" s="1" t="s">
        <v>4</v>
      </c>
      <c r="N3" s="1" t="s">
        <v>5</v>
      </c>
      <c r="O3" s="1" t="s">
        <v>6</v>
      </c>
      <c r="Q3" s="3" t="s">
        <v>34</v>
      </c>
      <c r="R3" s="1">
        <v>0</v>
      </c>
    </row>
    <row r="4" spans="2:18" x14ac:dyDescent="0.25">
      <c r="C4" s="1"/>
      <c r="D4" s="1"/>
      <c r="E4" s="1"/>
      <c r="H4" s="1"/>
      <c r="I4" s="1"/>
      <c r="J4" s="1"/>
      <c r="M4" s="1"/>
      <c r="N4" s="1"/>
      <c r="O4" s="1"/>
      <c r="Q4" s="1" t="s">
        <v>8</v>
      </c>
      <c r="R4" s="1">
        <v>222.6</v>
      </c>
    </row>
    <row r="5" spans="2:18" x14ac:dyDescent="0.25">
      <c r="B5" s="7">
        <v>45089</v>
      </c>
      <c r="C5" s="1">
        <v>0</v>
      </c>
      <c r="D5" s="1">
        <v>0</v>
      </c>
      <c r="E5" s="1">
        <v>0</v>
      </c>
      <c r="G5" s="7">
        <v>45089</v>
      </c>
      <c r="H5" s="1">
        <v>0</v>
      </c>
      <c r="I5" s="1">
        <v>0</v>
      </c>
      <c r="J5" s="1">
        <v>0</v>
      </c>
      <c r="L5" s="2">
        <v>45089</v>
      </c>
      <c r="M5" s="1">
        <v>0</v>
      </c>
      <c r="N5" s="1">
        <v>0</v>
      </c>
      <c r="O5" s="1">
        <v>0</v>
      </c>
      <c r="Q5" s="1" t="s">
        <v>9</v>
      </c>
      <c r="R5" s="1">
        <v>116.8</v>
      </c>
    </row>
    <row r="6" spans="2:18" x14ac:dyDescent="0.25">
      <c r="B6" s="7">
        <v>45119</v>
      </c>
      <c r="C6" s="1">
        <v>5</v>
      </c>
      <c r="D6" s="1">
        <v>6.5</v>
      </c>
      <c r="E6" s="1">
        <v>6</v>
      </c>
      <c r="G6" s="7">
        <v>45119</v>
      </c>
      <c r="H6" s="1">
        <v>8</v>
      </c>
      <c r="I6" s="1">
        <v>7.5</v>
      </c>
      <c r="J6" s="1">
        <v>5.6</v>
      </c>
      <c r="L6" s="2">
        <v>45119</v>
      </c>
      <c r="M6" s="1">
        <v>10.7</v>
      </c>
      <c r="N6" s="1">
        <v>11.5</v>
      </c>
      <c r="O6" s="1">
        <v>8.9</v>
      </c>
      <c r="Q6" s="1" t="s">
        <v>10</v>
      </c>
      <c r="R6" s="1">
        <v>46.2</v>
      </c>
    </row>
    <row r="7" spans="2:18" x14ac:dyDescent="0.25">
      <c r="B7" s="7">
        <v>45149</v>
      </c>
      <c r="C7" s="1">
        <v>7</v>
      </c>
      <c r="D7" s="1">
        <v>7</v>
      </c>
      <c r="E7" s="1">
        <v>7.5</v>
      </c>
      <c r="G7" s="7">
        <v>45149</v>
      </c>
      <c r="H7" s="1">
        <v>14.5</v>
      </c>
      <c r="I7" s="1">
        <v>11</v>
      </c>
      <c r="J7" s="1">
        <v>11.6</v>
      </c>
      <c r="L7" s="2">
        <v>45149</v>
      </c>
      <c r="M7" s="1">
        <v>15.4</v>
      </c>
      <c r="N7" s="1">
        <v>15.9</v>
      </c>
      <c r="O7" s="1">
        <v>13.2</v>
      </c>
      <c r="Q7" s="1" t="s">
        <v>11</v>
      </c>
      <c r="R7" s="1">
        <v>36.4</v>
      </c>
    </row>
    <row r="8" spans="2:18" x14ac:dyDescent="0.25">
      <c r="B8" s="7">
        <v>45181</v>
      </c>
      <c r="C8" s="1">
        <v>7.5</v>
      </c>
      <c r="D8" s="1">
        <v>8</v>
      </c>
      <c r="E8" s="1">
        <v>7.7</v>
      </c>
      <c r="G8" s="7">
        <v>45181</v>
      </c>
      <c r="H8" s="1">
        <v>15</v>
      </c>
      <c r="I8" s="1">
        <v>12.5</v>
      </c>
      <c r="J8" s="1">
        <v>12.1</v>
      </c>
      <c r="L8" s="2">
        <v>45181</v>
      </c>
      <c r="M8" s="1">
        <v>15.6</v>
      </c>
      <c r="N8" s="1">
        <v>16.600000000000001</v>
      </c>
      <c r="O8" s="1">
        <v>12.2</v>
      </c>
      <c r="Q8" s="1" t="s">
        <v>12</v>
      </c>
      <c r="R8" s="1">
        <v>0</v>
      </c>
    </row>
    <row r="9" spans="2:18" x14ac:dyDescent="0.25">
      <c r="B9" s="7">
        <v>45210</v>
      </c>
      <c r="C9" s="1">
        <v>7.5</v>
      </c>
      <c r="D9" s="1">
        <v>7.5</v>
      </c>
      <c r="E9" s="1">
        <v>8.5</v>
      </c>
      <c r="G9" s="7">
        <v>45210</v>
      </c>
      <c r="H9" s="1">
        <v>15.5</v>
      </c>
      <c r="I9" s="1">
        <v>12.5</v>
      </c>
      <c r="J9" s="1">
        <v>12.1</v>
      </c>
      <c r="L9" s="4">
        <v>45210</v>
      </c>
      <c r="M9" s="1">
        <v>15.4</v>
      </c>
      <c r="N9" s="1">
        <v>16.899999999999999</v>
      </c>
      <c r="O9" s="1">
        <v>12.2</v>
      </c>
      <c r="Q9" s="1" t="s">
        <v>13</v>
      </c>
      <c r="R9" s="1">
        <v>21.8</v>
      </c>
    </row>
    <row r="10" spans="2:18" x14ac:dyDescent="0.25">
      <c r="B10" s="7">
        <v>45243</v>
      </c>
      <c r="C10" s="1">
        <v>9</v>
      </c>
      <c r="D10" s="1">
        <v>8.5</v>
      </c>
      <c r="E10" s="1">
        <v>8.5</v>
      </c>
      <c r="G10" s="7">
        <v>45243</v>
      </c>
      <c r="H10" s="1">
        <v>14.5</v>
      </c>
      <c r="I10" s="1">
        <v>12</v>
      </c>
      <c r="J10" s="1">
        <v>11.6</v>
      </c>
      <c r="L10" s="4">
        <v>45243</v>
      </c>
      <c r="M10" s="1">
        <v>15.4</v>
      </c>
      <c r="N10" s="1">
        <v>15.9</v>
      </c>
      <c r="O10" s="1">
        <v>11.7</v>
      </c>
      <c r="Q10" s="1" t="s">
        <v>14</v>
      </c>
      <c r="R10" s="1">
        <v>60.4</v>
      </c>
    </row>
    <row r="11" spans="2:18" x14ac:dyDescent="0.25">
      <c r="B11" s="7">
        <v>45272</v>
      </c>
      <c r="C11" s="1">
        <v>8</v>
      </c>
      <c r="D11" s="1">
        <v>8.5</v>
      </c>
      <c r="E11" s="1">
        <v>8.9</v>
      </c>
      <c r="G11" s="7">
        <v>45272</v>
      </c>
      <c r="H11" s="1">
        <v>15.5</v>
      </c>
      <c r="I11" s="1">
        <v>13</v>
      </c>
      <c r="J11" s="1">
        <v>12.6</v>
      </c>
      <c r="L11" s="4">
        <v>45272</v>
      </c>
      <c r="M11" s="1">
        <v>15.8</v>
      </c>
      <c r="N11" s="1">
        <v>16.7</v>
      </c>
      <c r="O11" s="1">
        <v>12.2</v>
      </c>
      <c r="Q11" s="1" t="s">
        <v>15</v>
      </c>
      <c r="R11" s="1">
        <v>37.200000000000003</v>
      </c>
    </row>
    <row r="12" spans="2:18" x14ac:dyDescent="0.25">
      <c r="B12" s="7">
        <v>45306</v>
      </c>
      <c r="C12" s="1">
        <v>9.5</v>
      </c>
      <c r="D12" s="1">
        <v>10.5</v>
      </c>
      <c r="E12" s="1">
        <v>12.5</v>
      </c>
      <c r="G12" s="7">
        <v>45306</v>
      </c>
      <c r="H12" s="1">
        <v>17</v>
      </c>
      <c r="I12" s="1">
        <v>14</v>
      </c>
      <c r="J12" s="1">
        <v>14.8</v>
      </c>
      <c r="L12" s="2">
        <v>45306</v>
      </c>
      <c r="M12" s="1">
        <v>22.4</v>
      </c>
      <c r="N12" s="1">
        <v>18.399999999999999</v>
      </c>
      <c r="O12" s="1">
        <v>14.2</v>
      </c>
      <c r="Q12" s="1" t="s">
        <v>16</v>
      </c>
      <c r="R12" s="1">
        <v>162.19999999999999</v>
      </c>
    </row>
    <row r="13" spans="2:18" x14ac:dyDescent="0.25">
      <c r="B13" s="7">
        <v>45337</v>
      </c>
      <c r="C13" s="1">
        <v>14.7</v>
      </c>
      <c r="D13" s="1">
        <v>15</v>
      </c>
      <c r="E13" s="1">
        <v>14.5</v>
      </c>
      <c r="G13" s="7">
        <v>45337</v>
      </c>
      <c r="H13" s="1">
        <v>14.4</v>
      </c>
      <c r="I13" s="1">
        <v>14</v>
      </c>
      <c r="J13" s="1">
        <v>16.600000000000001</v>
      </c>
      <c r="L13" s="2">
        <v>45337</v>
      </c>
      <c r="M13" s="1">
        <v>25.4</v>
      </c>
      <c r="N13" s="1">
        <v>24.9</v>
      </c>
      <c r="O13" s="1">
        <v>18.2</v>
      </c>
      <c r="Q13" s="1" t="s">
        <v>17</v>
      </c>
      <c r="R13" s="1">
        <v>156</v>
      </c>
    </row>
    <row r="14" spans="2:18" x14ac:dyDescent="0.25">
      <c r="B14" s="7">
        <v>45366</v>
      </c>
      <c r="C14" s="1">
        <v>36</v>
      </c>
      <c r="D14" s="1">
        <v>38.5</v>
      </c>
      <c r="E14" s="1">
        <v>33.5</v>
      </c>
      <c r="G14" s="7">
        <v>45366</v>
      </c>
      <c r="H14" s="1">
        <v>15</v>
      </c>
      <c r="I14" s="1">
        <v>14</v>
      </c>
      <c r="J14" s="1">
        <v>15.6</v>
      </c>
      <c r="L14" s="2">
        <v>45366</v>
      </c>
      <c r="M14" s="1">
        <v>36.4</v>
      </c>
      <c r="N14" s="1">
        <v>34.9</v>
      </c>
      <c r="O14" s="1">
        <v>35.200000000000003</v>
      </c>
      <c r="Q14" s="1" t="s">
        <v>18</v>
      </c>
      <c r="R14" s="1">
        <v>396.8</v>
      </c>
    </row>
    <row r="15" spans="2:18" x14ac:dyDescent="0.25">
      <c r="B15" s="7">
        <v>45397</v>
      </c>
      <c r="C15" s="1">
        <v>36</v>
      </c>
      <c r="D15" s="1">
        <v>39.5</v>
      </c>
      <c r="E15" s="1">
        <v>33.5</v>
      </c>
      <c r="G15" s="7">
        <v>45397</v>
      </c>
      <c r="H15" s="1">
        <v>15</v>
      </c>
      <c r="I15" s="1">
        <v>14.5</v>
      </c>
      <c r="J15" s="1">
        <v>16.600000000000001</v>
      </c>
      <c r="L15" s="2">
        <v>45397</v>
      </c>
      <c r="M15" s="1">
        <v>39.299999999999997</v>
      </c>
      <c r="N15" s="1">
        <v>36.700000000000003</v>
      </c>
      <c r="O15" s="1">
        <v>37.200000000000003</v>
      </c>
      <c r="Q15" s="1" t="s">
        <v>19</v>
      </c>
      <c r="R15" s="1">
        <v>341.2</v>
      </c>
    </row>
    <row r="16" spans="2:18" x14ac:dyDescent="0.25">
      <c r="B16" s="7">
        <v>45428</v>
      </c>
      <c r="C16" s="1">
        <v>43.5</v>
      </c>
      <c r="D16" s="1">
        <v>47</v>
      </c>
      <c r="E16" s="1">
        <v>38</v>
      </c>
      <c r="G16" s="7">
        <v>45428</v>
      </c>
      <c r="H16" s="1">
        <v>33.5</v>
      </c>
      <c r="I16" s="1">
        <v>35</v>
      </c>
      <c r="J16" s="1">
        <v>31.6</v>
      </c>
      <c r="L16" s="2">
        <v>45428</v>
      </c>
      <c r="M16" s="1">
        <v>39.4</v>
      </c>
      <c r="N16" s="1">
        <v>37.9</v>
      </c>
      <c r="O16" s="1">
        <v>40.700000000000003</v>
      </c>
      <c r="Q16" s="1" t="s">
        <v>20</v>
      </c>
      <c r="R16" s="1">
        <v>149.6</v>
      </c>
    </row>
    <row r="17" spans="2:18" x14ac:dyDescent="0.25">
      <c r="B17" s="7">
        <v>45461</v>
      </c>
      <c r="C17" s="1">
        <v>44</v>
      </c>
      <c r="D17" s="1">
        <v>47.7</v>
      </c>
      <c r="E17" s="1">
        <v>39</v>
      </c>
      <c r="G17" s="7">
        <v>45461</v>
      </c>
      <c r="H17" s="1">
        <v>35</v>
      </c>
      <c r="I17" s="1">
        <v>35</v>
      </c>
      <c r="J17" s="1">
        <v>31.6</v>
      </c>
      <c r="L17" s="2">
        <v>45461</v>
      </c>
      <c r="M17" s="1">
        <v>40</v>
      </c>
      <c r="N17" s="5">
        <v>37.9</v>
      </c>
      <c r="O17" s="1">
        <v>41.2</v>
      </c>
      <c r="Q17" s="1" t="s">
        <v>21</v>
      </c>
      <c r="R17" s="1">
        <v>95.8</v>
      </c>
    </row>
    <row r="18" spans="2:18" x14ac:dyDescent="0.25">
      <c r="B18" s="7">
        <v>45491</v>
      </c>
      <c r="C18" s="1">
        <v>44.4</v>
      </c>
      <c r="D18" s="1">
        <v>47.7</v>
      </c>
      <c r="E18" s="1">
        <v>39.5</v>
      </c>
      <c r="G18" s="7">
        <v>45491</v>
      </c>
      <c r="H18" s="1">
        <v>35</v>
      </c>
      <c r="I18" s="1">
        <v>36.6</v>
      </c>
      <c r="J18" s="1">
        <v>33.299999999999997</v>
      </c>
      <c r="L18" s="2">
        <v>45491</v>
      </c>
      <c r="M18" s="1">
        <v>39.9</v>
      </c>
      <c r="N18" s="1">
        <v>37.9</v>
      </c>
      <c r="O18" s="1">
        <v>41.2</v>
      </c>
      <c r="Q18" s="1" t="s">
        <v>22</v>
      </c>
      <c r="R18" s="1">
        <v>5.8</v>
      </c>
    </row>
    <row r="19" spans="2:18" x14ac:dyDescent="0.25">
      <c r="B19" s="7">
        <v>45525</v>
      </c>
      <c r="C19" s="1">
        <v>44.5</v>
      </c>
      <c r="D19" s="1">
        <v>48.3</v>
      </c>
      <c r="E19" s="1">
        <v>39.799999999999997</v>
      </c>
      <c r="G19" s="7">
        <v>45525</v>
      </c>
      <c r="H19" s="1">
        <v>35.4</v>
      </c>
      <c r="I19" s="1">
        <v>37.200000000000003</v>
      </c>
      <c r="J19" s="1">
        <v>33.6</v>
      </c>
      <c r="L19" s="2">
        <v>45525</v>
      </c>
      <c r="M19" s="1">
        <v>39.9</v>
      </c>
      <c r="N19" s="1">
        <v>38.200000000000003</v>
      </c>
      <c r="O19" s="1">
        <v>41.2</v>
      </c>
      <c r="Q19" s="1" t="s">
        <v>23</v>
      </c>
      <c r="R19" s="1">
        <v>19</v>
      </c>
    </row>
    <row r="20" spans="2:18" x14ac:dyDescent="0.25">
      <c r="B20" s="7">
        <v>45556</v>
      </c>
      <c r="C20" s="1">
        <v>45</v>
      </c>
      <c r="D20" s="1">
        <v>48.5</v>
      </c>
      <c r="E20" s="1">
        <v>39.5</v>
      </c>
      <c r="G20" s="7">
        <v>45556</v>
      </c>
      <c r="H20" s="1">
        <v>35</v>
      </c>
      <c r="I20" s="1">
        <v>37</v>
      </c>
      <c r="J20" s="1">
        <v>33.6</v>
      </c>
      <c r="L20" s="2">
        <v>45556</v>
      </c>
      <c r="M20" s="1">
        <v>39.4</v>
      </c>
      <c r="N20" s="1">
        <v>37.9</v>
      </c>
      <c r="O20" s="1">
        <v>40.700000000000003</v>
      </c>
      <c r="Q20" s="1" t="s">
        <v>24</v>
      </c>
      <c r="R20" s="1">
        <v>11.8</v>
      </c>
    </row>
    <row r="21" spans="2:18" x14ac:dyDescent="0.25">
      <c r="B21" s="7">
        <v>45586</v>
      </c>
      <c r="C21" s="1">
        <v>44.7</v>
      </c>
      <c r="D21" s="1">
        <v>48.2</v>
      </c>
      <c r="E21" s="1">
        <v>40</v>
      </c>
      <c r="G21" s="7">
        <v>45586</v>
      </c>
      <c r="H21" s="1">
        <v>35.299999999999997</v>
      </c>
      <c r="I21" s="1">
        <v>36.799999999999997</v>
      </c>
      <c r="J21" s="1">
        <v>33.4</v>
      </c>
      <c r="L21" s="4">
        <v>45586</v>
      </c>
      <c r="M21" s="1">
        <v>39.799999999999997</v>
      </c>
      <c r="N21" s="1">
        <v>37.9</v>
      </c>
      <c r="O21" s="1">
        <v>40.9</v>
      </c>
      <c r="Q21" s="1" t="s">
        <v>25</v>
      </c>
      <c r="R21" s="1">
        <v>13.8</v>
      </c>
    </row>
    <row r="22" spans="2:18" x14ac:dyDescent="0.25">
      <c r="B22" s="7">
        <v>45618</v>
      </c>
      <c r="C22" s="1">
        <v>45.8</v>
      </c>
      <c r="D22" s="1">
        <v>48.9</v>
      </c>
      <c r="E22" s="1">
        <v>39.9</v>
      </c>
      <c r="G22" s="7">
        <v>45618</v>
      </c>
      <c r="H22" s="1">
        <v>37.5</v>
      </c>
      <c r="I22" s="1">
        <v>38</v>
      </c>
      <c r="J22" s="1">
        <v>33.6</v>
      </c>
      <c r="L22" s="4">
        <v>45618</v>
      </c>
      <c r="M22" s="1">
        <v>39.9</v>
      </c>
      <c r="N22" s="1">
        <v>38.1</v>
      </c>
      <c r="O22" s="1">
        <v>40.700000000000003</v>
      </c>
      <c r="Q22" s="1" t="s">
        <v>26</v>
      </c>
      <c r="R22" s="1">
        <v>80</v>
      </c>
    </row>
    <row r="23" spans="2:18" x14ac:dyDescent="0.25">
      <c r="B23" s="7">
        <v>45644</v>
      </c>
      <c r="C23" s="1">
        <v>46</v>
      </c>
      <c r="D23" s="1">
        <v>49.3</v>
      </c>
      <c r="E23" s="1">
        <v>39.9</v>
      </c>
      <c r="G23" s="7">
        <v>45644</v>
      </c>
      <c r="H23" s="1">
        <v>37.5</v>
      </c>
      <c r="I23" s="1">
        <v>37.799999999999997</v>
      </c>
      <c r="J23" s="1">
        <v>33.6</v>
      </c>
      <c r="L23" s="4">
        <v>45644</v>
      </c>
      <c r="M23" s="1">
        <v>39.799999999999997</v>
      </c>
      <c r="N23" s="1">
        <v>37.9</v>
      </c>
      <c r="O23" s="1">
        <v>40.6</v>
      </c>
      <c r="Q23" s="1" t="s">
        <v>27</v>
      </c>
      <c r="R23" s="1">
        <v>34</v>
      </c>
    </row>
    <row r="24" spans="2:18" x14ac:dyDescent="0.25">
      <c r="B24" s="7">
        <v>45678</v>
      </c>
      <c r="C24" s="1">
        <v>46</v>
      </c>
      <c r="D24" s="1">
        <v>51.5</v>
      </c>
      <c r="E24" s="1">
        <v>40.9</v>
      </c>
      <c r="G24" s="7">
        <v>45678</v>
      </c>
      <c r="H24" s="1">
        <v>40.9</v>
      </c>
      <c r="I24" s="1">
        <v>42</v>
      </c>
      <c r="J24" s="1">
        <v>39.9</v>
      </c>
      <c r="L24" s="2">
        <v>45678</v>
      </c>
      <c r="M24" s="1">
        <v>39.4</v>
      </c>
      <c r="N24" s="1">
        <v>37.9</v>
      </c>
      <c r="O24" s="1">
        <v>41</v>
      </c>
      <c r="Q24" s="1" t="s">
        <v>28</v>
      </c>
      <c r="R24" s="1">
        <v>89.4</v>
      </c>
    </row>
    <row r="25" spans="2:18" x14ac:dyDescent="0.25">
      <c r="B25" s="7">
        <v>45711</v>
      </c>
      <c r="C25" s="1">
        <v>47.5</v>
      </c>
      <c r="D25" s="1">
        <v>52.5</v>
      </c>
      <c r="E25" s="1">
        <v>42.7</v>
      </c>
      <c r="G25" s="7">
        <v>45711</v>
      </c>
      <c r="H25" s="1">
        <v>42.8</v>
      </c>
      <c r="I25" s="1">
        <v>43.8</v>
      </c>
      <c r="J25" s="1">
        <v>41.5</v>
      </c>
      <c r="L25" s="2">
        <v>45711</v>
      </c>
      <c r="M25" s="1">
        <v>39.700000000000003</v>
      </c>
      <c r="N25" s="1">
        <v>39.799999999999997</v>
      </c>
      <c r="O25" s="1">
        <v>44</v>
      </c>
      <c r="Q25" s="1" t="s">
        <v>29</v>
      </c>
      <c r="R25" s="1">
        <v>112</v>
      </c>
    </row>
    <row r="26" spans="2:18" x14ac:dyDescent="0.25">
      <c r="B26" s="7">
        <v>45741</v>
      </c>
      <c r="C26" s="1">
        <v>49</v>
      </c>
      <c r="D26" s="1">
        <v>55.5</v>
      </c>
      <c r="E26" s="1">
        <v>45.5</v>
      </c>
      <c r="G26" s="7">
        <v>45741</v>
      </c>
      <c r="H26" s="1">
        <v>44.5</v>
      </c>
      <c r="I26" s="1">
        <v>44.5</v>
      </c>
      <c r="J26" s="1">
        <v>41.8</v>
      </c>
      <c r="L26" s="2">
        <v>45741</v>
      </c>
      <c r="M26" s="1">
        <v>40.200000000000003</v>
      </c>
      <c r="N26" s="1">
        <v>40.799999999999997</v>
      </c>
      <c r="O26" s="1">
        <v>45</v>
      </c>
      <c r="Q26" s="1" t="s">
        <v>30</v>
      </c>
      <c r="R26" s="1">
        <v>359</v>
      </c>
    </row>
    <row r="27" spans="2:18" x14ac:dyDescent="0.25">
      <c r="B27" s="7">
        <v>45772</v>
      </c>
      <c r="C27" s="1">
        <v>51.9</v>
      </c>
      <c r="D27" s="1">
        <v>58.7</v>
      </c>
      <c r="E27" s="1">
        <v>50</v>
      </c>
      <c r="G27" s="7">
        <v>45772</v>
      </c>
      <c r="H27" s="1">
        <v>47.5</v>
      </c>
      <c r="I27" s="1">
        <v>47.8</v>
      </c>
      <c r="J27" s="1">
        <v>45</v>
      </c>
      <c r="L27" s="2">
        <v>45772</v>
      </c>
      <c r="M27" s="1">
        <v>42.8</v>
      </c>
      <c r="N27" s="1">
        <v>42.7</v>
      </c>
      <c r="O27" s="1">
        <v>48.2</v>
      </c>
    </row>
    <row r="28" spans="2:18" x14ac:dyDescent="0.25">
      <c r="B28" s="7">
        <v>45802</v>
      </c>
      <c r="C28" s="1">
        <v>54.2</v>
      </c>
      <c r="D28" s="1">
        <v>49</v>
      </c>
      <c r="E28" s="1">
        <v>41</v>
      </c>
      <c r="G28" s="7">
        <v>45802</v>
      </c>
      <c r="H28" s="1">
        <v>33.5</v>
      </c>
      <c r="I28" s="1">
        <v>28.5</v>
      </c>
      <c r="J28" s="1">
        <v>24.6</v>
      </c>
      <c r="L28" s="2">
        <v>45802</v>
      </c>
      <c r="M28" s="1">
        <v>50.4</v>
      </c>
      <c r="N28" s="1">
        <v>49.3</v>
      </c>
      <c r="O28" s="1">
        <v>52</v>
      </c>
    </row>
  </sheetData>
  <mergeCells count="3">
    <mergeCell ref="C1:E1"/>
    <mergeCell ref="H1:J1"/>
    <mergeCell ref="M1:O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77B9C-467E-435F-9A81-1096FB4EBEF4}">
  <dimension ref="A1:F73"/>
  <sheetViews>
    <sheetView tabSelected="1" workbookViewId="0">
      <selection activeCell="F2" sqref="F2"/>
    </sheetView>
  </sheetViews>
  <sheetFormatPr defaultColWidth="12.6640625" defaultRowHeight="13.2" x14ac:dyDescent="0.25"/>
  <cols>
    <col min="2" max="2" width="12.6640625" style="6"/>
    <col min="16" max="16" width="25.21875" customWidth="1"/>
  </cols>
  <sheetData>
    <row r="1" spans="1:6" x14ac:dyDescent="0.25">
      <c r="A1" s="8" t="s">
        <v>39</v>
      </c>
      <c r="B1" s="9" t="s">
        <v>38</v>
      </c>
      <c r="C1" t="s">
        <v>42</v>
      </c>
      <c r="D1" s="8" t="s">
        <v>41</v>
      </c>
      <c r="E1" s="8" t="s">
        <v>40</v>
      </c>
      <c r="F1" s="8" t="s">
        <v>43</v>
      </c>
    </row>
    <row r="2" spans="1:6" x14ac:dyDescent="0.25">
      <c r="A2" s="8" t="s">
        <v>35</v>
      </c>
      <c r="B2">
        <v>6</v>
      </c>
      <c r="C2">
        <v>2023</v>
      </c>
      <c r="D2">
        <v>0</v>
      </c>
      <c r="E2" s="1">
        <v>0</v>
      </c>
      <c r="F2" s="1">
        <v>0</v>
      </c>
    </row>
    <row r="3" spans="1:6" x14ac:dyDescent="0.25">
      <c r="A3" s="8" t="s">
        <v>35</v>
      </c>
      <c r="B3">
        <v>7</v>
      </c>
      <c r="C3">
        <v>2023</v>
      </c>
      <c r="D3">
        <v>5.8333333333333327E-2</v>
      </c>
      <c r="E3" s="1">
        <v>222.6</v>
      </c>
      <c r="F3">
        <f>D3-D2</f>
        <v>5.8333333333333327E-2</v>
      </c>
    </row>
    <row r="4" spans="1:6" x14ac:dyDescent="0.25">
      <c r="A4" s="8" t="s">
        <v>35</v>
      </c>
      <c r="B4">
        <v>8</v>
      </c>
      <c r="C4">
        <v>2023</v>
      </c>
      <c r="D4">
        <v>7.166666666666667E-2</v>
      </c>
      <c r="E4" s="1">
        <v>116.8</v>
      </c>
      <c r="F4">
        <f>D4-D3</f>
        <v>1.3333333333333343E-2</v>
      </c>
    </row>
    <row r="5" spans="1:6" x14ac:dyDescent="0.25">
      <c r="A5" s="8" t="s">
        <v>35</v>
      </c>
      <c r="B5">
        <v>9</v>
      </c>
      <c r="C5">
        <v>2023</v>
      </c>
      <c r="D5">
        <v>7.7333333333333337E-2</v>
      </c>
      <c r="E5" s="1">
        <v>46.2</v>
      </c>
      <c r="F5">
        <f t="shared" ref="F5:F68" si="0">D5-D4</f>
        <v>5.6666666666666671E-3</v>
      </c>
    </row>
    <row r="6" spans="1:6" x14ac:dyDescent="0.25">
      <c r="A6" s="8" t="s">
        <v>35</v>
      </c>
      <c r="B6">
        <v>10</v>
      </c>
      <c r="C6">
        <v>2023</v>
      </c>
      <c r="D6">
        <v>7.8333333333333324E-2</v>
      </c>
      <c r="E6" s="1">
        <v>36.4</v>
      </c>
      <c r="F6">
        <f t="shared" si="0"/>
        <v>9.9999999999998701E-4</v>
      </c>
    </row>
    <row r="7" spans="1:6" x14ac:dyDescent="0.25">
      <c r="A7" s="8" t="s">
        <v>35</v>
      </c>
      <c r="B7">
        <v>11</v>
      </c>
      <c r="C7">
        <v>2023</v>
      </c>
      <c r="D7">
        <v>8.6666666666666656E-2</v>
      </c>
      <c r="E7" s="1">
        <v>0</v>
      </c>
      <c r="F7">
        <f t="shared" si="0"/>
        <v>8.3333333333333315E-3</v>
      </c>
    </row>
    <row r="8" spans="1:6" x14ac:dyDescent="0.25">
      <c r="A8" s="8" t="s">
        <v>35</v>
      </c>
      <c r="B8">
        <v>12</v>
      </c>
      <c r="C8">
        <v>2023</v>
      </c>
      <c r="D8">
        <v>8.4666666666666668E-2</v>
      </c>
      <c r="E8" s="1">
        <v>21.8</v>
      </c>
      <c r="F8">
        <f t="shared" si="0"/>
        <v>-1.9999999999999879E-3</v>
      </c>
    </row>
    <row r="9" spans="1:6" x14ac:dyDescent="0.25">
      <c r="A9" s="8" t="s">
        <v>35</v>
      </c>
      <c r="B9">
        <v>1</v>
      </c>
      <c r="C9">
        <v>2024</v>
      </c>
      <c r="D9">
        <v>0.10833333333333334</v>
      </c>
      <c r="E9" s="1">
        <v>60.4</v>
      </c>
      <c r="F9">
        <f t="shared" si="0"/>
        <v>2.3666666666666669E-2</v>
      </c>
    </row>
    <row r="10" spans="1:6" x14ac:dyDescent="0.25">
      <c r="A10" s="8" t="s">
        <v>35</v>
      </c>
      <c r="B10">
        <v>2</v>
      </c>
      <c r="C10">
        <v>2024</v>
      </c>
      <c r="D10">
        <v>0.14733333333333334</v>
      </c>
      <c r="E10" s="1">
        <v>37.200000000000003</v>
      </c>
      <c r="F10">
        <f t="shared" si="0"/>
        <v>3.9000000000000007E-2</v>
      </c>
    </row>
    <row r="11" spans="1:6" x14ac:dyDescent="0.25">
      <c r="A11" s="8" t="s">
        <v>35</v>
      </c>
      <c r="B11">
        <v>3</v>
      </c>
      <c r="C11">
        <v>2024</v>
      </c>
      <c r="D11">
        <v>0.36</v>
      </c>
      <c r="E11" s="1">
        <v>162.19999999999999</v>
      </c>
      <c r="F11">
        <f t="shared" si="0"/>
        <v>0.21266666666666664</v>
      </c>
    </row>
    <row r="12" spans="1:6" x14ac:dyDescent="0.25">
      <c r="A12" s="8" t="s">
        <v>35</v>
      </c>
      <c r="B12">
        <v>4</v>
      </c>
      <c r="C12">
        <v>2024</v>
      </c>
      <c r="D12">
        <v>0.36333333333333334</v>
      </c>
      <c r="E12" s="1">
        <v>156</v>
      </c>
      <c r="F12">
        <f t="shared" si="0"/>
        <v>3.3333333333333548E-3</v>
      </c>
    </row>
    <row r="13" spans="1:6" x14ac:dyDescent="0.25">
      <c r="A13" s="8" t="s">
        <v>35</v>
      </c>
      <c r="B13">
        <v>5</v>
      </c>
      <c r="C13">
        <v>2024</v>
      </c>
      <c r="D13">
        <v>0.42833333333333334</v>
      </c>
      <c r="E13" s="1">
        <v>396.8</v>
      </c>
      <c r="F13">
        <f t="shared" si="0"/>
        <v>6.5000000000000002E-2</v>
      </c>
    </row>
    <row r="14" spans="1:6" x14ac:dyDescent="0.25">
      <c r="A14" s="8" t="s">
        <v>35</v>
      </c>
      <c r="B14">
        <v>6</v>
      </c>
      <c r="C14">
        <v>2024</v>
      </c>
      <c r="D14">
        <v>0.43566666666666665</v>
      </c>
      <c r="E14" s="1">
        <v>341.2</v>
      </c>
      <c r="F14">
        <f t="shared" si="0"/>
        <v>7.3333333333333028E-3</v>
      </c>
    </row>
    <row r="15" spans="1:6" x14ac:dyDescent="0.25">
      <c r="A15" s="8" t="s">
        <v>35</v>
      </c>
      <c r="B15">
        <v>7</v>
      </c>
      <c r="C15">
        <v>2024</v>
      </c>
      <c r="D15">
        <v>0.43866666666666665</v>
      </c>
      <c r="E15" s="1">
        <v>149.6</v>
      </c>
      <c r="F15">
        <f t="shared" si="0"/>
        <v>3.0000000000000027E-3</v>
      </c>
    </row>
    <row r="16" spans="1:6" x14ac:dyDescent="0.25">
      <c r="A16" s="8" t="s">
        <v>35</v>
      </c>
      <c r="B16">
        <v>8</v>
      </c>
      <c r="C16">
        <v>2024</v>
      </c>
      <c r="D16">
        <v>0.44199999999999995</v>
      </c>
      <c r="E16" s="1">
        <v>95.8</v>
      </c>
      <c r="F16">
        <f t="shared" si="0"/>
        <v>3.3333333333332993E-3</v>
      </c>
    </row>
    <row r="17" spans="1:6" x14ac:dyDescent="0.25">
      <c r="A17" s="8" t="s">
        <v>35</v>
      </c>
      <c r="B17">
        <v>9</v>
      </c>
      <c r="C17">
        <v>2024</v>
      </c>
      <c r="D17">
        <v>0.44333333333333336</v>
      </c>
      <c r="E17" s="1">
        <v>5.8</v>
      </c>
      <c r="F17">
        <f t="shared" si="0"/>
        <v>1.3333333333334085E-3</v>
      </c>
    </row>
    <row r="18" spans="1:6" x14ac:dyDescent="0.25">
      <c r="A18" s="8" t="s">
        <v>35</v>
      </c>
      <c r="B18">
        <v>10</v>
      </c>
      <c r="C18">
        <v>2024</v>
      </c>
      <c r="D18">
        <v>0.44300000000000006</v>
      </c>
      <c r="E18" s="1">
        <v>19</v>
      </c>
      <c r="F18">
        <v>0</v>
      </c>
    </row>
    <row r="19" spans="1:6" x14ac:dyDescent="0.25">
      <c r="A19" s="8" t="s">
        <v>35</v>
      </c>
      <c r="B19">
        <v>11</v>
      </c>
      <c r="C19">
        <v>2024</v>
      </c>
      <c r="D19">
        <v>0.44866666666666666</v>
      </c>
      <c r="E19" s="1">
        <v>11.8</v>
      </c>
      <c r="F19">
        <f t="shared" si="0"/>
        <v>5.6666666666665977E-3</v>
      </c>
    </row>
    <row r="20" spans="1:6" x14ac:dyDescent="0.25">
      <c r="A20" s="8" t="s">
        <v>35</v>
      </c>
      <c r="B20">
        <v>12</v>
      </c>
      <c r="C20">
        <v>2024</v>
      </c>
      <c r="D20">
        <v>0.4506666666666666</v>
      </c>
      <c r="E20" s="1">
        <v>13.8</v>
      </c>
      <c r="F20">
        <f t="shared" si="0"/>
        <v>1.9999999999999463E-3</v>
      </c>
    </row>
    <row r="21" spans="1:6" x14ac:dyDescent="0.25">
      <c r="A21" s="8" t="s">
        <v>35</v>
      </c>
      <c r="B21">
        <v>1</v>
      </c>
      <c r="C21">
        <v>2025</v>
      </c>
      <c r="D21">
        <v>0.46133333333333332</v>
      </c>
      <c r="E21" s="1">
        <v>80</v>
      </c>
      <c r="F21">
        <f t="shared" si="0"/>
        <v>1.0666666666666713E-2</v>
      </c>
    </row>
    <row r="22" spans="1:6" x14ac:dyDescent="0.25">
      <c r="A22" s="8" t="s">
        <v>35</v>
      </c>
      <c r="B22">
        <v>2</v>
      </c>
      <c r="C22">
        <v>2025</v>
      </c>
      <c r="D22">
        <v>0.47566666666666663</v>
      </c>
      <c r="E22" s="1">
        <v>34</v>
      </c>
      <c r="F22">
        <f t="shared" si="0"/>
        <v>1.4333333333333309E-2</v>
      </c>
    </row>
    <row r="23" spans="1:6" x14ac:dyDescent="0.25">
      <c r="A23" s="8" t="s">
        <v>35</v>
      </c>
      <c r="B23">
        <v>3</v>
      </c>
      <c r="C23">
        <v>2025</v>
      </c>
      <c r="D23">
        <v>0.5</v>
      </c>
      <c r="E23" s="1">
        <v>89.4</v>
      </c>
      <c r="F23">
        <f t="shared" si="0"/>
        <v>2.4333333333333373E-2</v>
      </c>
    </row>
    <row r="24" spans="1:6" x14ac:dyDescent="0.25">
      <c r="A24" s="8" t="s">
        <v>35</v>
      </c>
      <c r="B24">
        <v>4</v>
      </c>
      <c r="C24">
        <v>2025</v>
      </c>
      <c r="D24">
        <v>0.53533333333333333</v>
      </c>
      <c r="E24" s="1">
        <v>112</v>
      </c>
      <c r="F24">
        <f t="shared" si="0"/>
        <v>3.5333333333333328E-2</v>
      </c>
    </row>
    <row r="25" spans="1:6" x14ac:dyDescent="0.25">
      <c r="A25" s="8" t="s">
        <v>35</v>
      </c>
      <c r="B25">
        <v>5</v>
      </c>
      <c r="C25">
        <v>2025</v>
      </c>
      <c r="D25">
        <v>0.48066666666666663</v>
      </c>
      <c r="E25" s="1">
        <v>359</v>
      </c>
      <c r="F25">
        <v>0</v>
      </c>
    </row>
    <row r="26" spans="1:6" x14ac:dyDescent="0.25">
      <c r="A26" s="8" t="s">
        <v>36</v>
      </c>
      <c r="B26">
        <v>6</v>
      </c>
      <c r="C26">
        <v>2023</v>
      </c>
      <c r="D26">
        <v>0</v>
      </c>
      <c r="F26">
        <v>0</v>
      </c>
    </row>
    <row r="27" spans="1:6" x14ac:dyDescent="0.25">
      <c r="A27" s="8" t="s">
        <v>36</v>
      </c>
      <c r="B27">
        <v>7</v>
      </c>
      <c r="C27">
        <v>2023</v>
      </c>
      <c r="D27">
        <v>7.0333333333333345E-2</v>
      </c>
      <c r="F27">
        <f t="shared" si="0"/>
        <v>7.0333333333333345E-2</v>
      </c>
    </row>
    <row r="28" spans="1:6" x14ac:dyDescent="0.25">
      <c r="A28" s="8" t="s">
        <v>36</v>
      </c>
      <c r="B28">
        <v>8</v>
      </c>
      <c r="C28">
        <v>2023</v>
      </c>
      <c r="D28">
        <v>0.12366666666666667</v>
      </c>
      <c r="F28">
        <f t="shared" si="0"/>
        <v>5.333333333333333E-2</v>
      </c>
    </row>
    <row r="29" spans="1:6" x14ac:dyDescent="0.25">
      <c r="A29" s="8" t="s">
        <v>36</v>
      </c>
      <c r="B29">
        <v>9</v>
      </c>
      <c r="C29">
        <v>2023</v>
      </c>
      <c r="D29">
        <v>0.13200000000000001</v>
      </c>
      <c r="F29">
        <f t="shared" si="0"/>
        <v>8.3333333333333315E-3</v>
      </c>
    </row>
    <row r="30" spans="1:6" x14ac:dyDescent="0.25">
      <c r="A30" s="8" t="s">
        <v>36</v>
      </c>
      <c r="B30">
        <v>10</v>
      </c>
      <c r="C30">
        <v>2023</v>
      </c>
      <c r="D30">
        <v>0.13366666666666668</v>
      </c>
      <c r="F30">
        <f t="shared" si="0"/>
        <v>1.6666666666666774E-3</v>
      </c>
    </row>
    <row r="31" spans="1:6" x14ac:dyDescent="0.25">
      <c r="A31" s="8" t="s">
        <v>36</v>
      </c>
      <c r="B31">
        <v>11</v>
      </c>
      <c r="C31">
        <v>2023</v>
      </c>
      <c r="D31">
        <v>0.127</v>
      </c>
      <c r="F31">
        <v>0</v>
      </c>
    </row>
    <row r="32" spans="1:6" x14ac:dyDescent="0.25">
      <c r="A32" s="8" t="s">
        <v>36</v>
      </c>
      <c r="B32">
        <v>12</v>
      </c>
      <c r="C32">
        <v>2023</v>
      </c>
      <c r="D32">
        <v>0.13700000000000001</v>
      </c>
      <c r="F32">
        <f t="shared" si="0"/>
        <v>1.0000000000000009E-2</v>
      </c>
    </row>
    <row r="33" spans="1:6" x14ac:dyDescent="0.25">
      <c r="A33" s="8" t="s">
        <v>36</v>
      </c>
      <c r="B33">
        <v>1</v>
      </c>
      <c r="C33">
        <v>2024</v>
      </c>
      <c r="D33">
        <v>0.15266666666666664</v>
      </c>
      <c r="F33">
        <f t="shared" si="0"/>
        <v>1.5666666666666634E-2</v>
      </c>
    </row>
    <row r="34" spans="1:6" x14ac:dyDescent="0.25">
      <c r="A34" s="8" t="s">
        <v>36</v>
      </c>
      <c r="B34">
        <v>2</v>
      </c>
      <c r="C34">
        <v>2024</v>
      </c>
      <c r="D34">
        <v>0.15</v>
      </c>
      <c r="F34">
        <v>0</v>
      </c>
    </row>
    <row r="35" spans="1:6" x14ac:dyDescent="0.25">
      <c r="A35" s="8" t="s">
        <v>36</v>
      </c>
      <c r="B35">
        <v>3</v>
      </c>
      <c r="C35">
        <v>2024</v>
      </c>
      <c r="D35">
        <v>0.14866666666666667</v>
      </c>
      <c r="F35">
        <v>0</v>
      </c>
    </row>
    <row r="36" spans="1:6" x14ac:dyDescent="0.25">
      <c r="A36" s="8" t="s">
        <v>36</v>
      </c>
      <c r="B36">
        <v>4</v>
      </c>
      <c r="C36">
        <v>2024</v>
      </c>
      <c r="D36">
        <v>0.15366666666666667</v>
      </c>
      <c r="F36">
        <f t="shared" si="0"/>
        <v>5.0000000000000044E-3</v>
      </c>
    </row>
    <row r="37" spans="1:6" x14ac:dyDescent="0.25">
      <c r="A37" s="8" t="s">
        <v>36</v>
      </c>
      <c r="B37">
        <v>5</v>
      </c>
      <c r="C37">
        <v>2024</v>
      </c>
      <c r="D37">
        <v>0.33366666666666667</v>
      </c>
      <c r="F37">
        <f t="shared" si="0"/>
        <v>0.18</v>
      </c>
    </row>
    <row r="38" spans="1:6" x14ac:dyDescent="0.25">
      <c r="A38" s="8" t="s">
        <v>36</v>
      </c>
      <c r="B38">
        <v>6</v>
      </c>
      <c r="C38">
        <v>2024</v>
      </c>
      <c r="D38">
        <v>0.33866666666666667</v>
      </c>
      <c r="F38">
        <f t="shared" si="0"/>
        <v>5.0000000000000044E-3</v>
      </c>
    </row>
    <row r="39" spans="1:6" x14ac:dyDescent="0.25">
      <c r="A39" s="8" t="s">
        <v>36</v>
      </c>
      <c r="B39">
        <v>7</v>
      </c>
      <c r="C39">
        <v>2024</v>
      </c>
      <c r="D39">
        <v>0.34966666666666663</v>
      </c>
      <c r="F39">
        <f t="shared" si="0"/>
        <v>1.0999999999999954E-2</v>
      </c>
    </row>
    <row r="40" spans="1:6" x14ac:dyDescent="0.25">
      <c r="A40" s="8" t="s">
        <v>36</v>
      </c>
      <c r="B40">
        <v>8</v>
      </c>
      <c r="C40">
        <v>2024</v>
      </c>
      <c r="D40">
        <v>0.35399999999999998</v>
      </c>
      <c r="F40">
        <f t="shared" si="0"/>
        <v>4.3333333333333557E-3</v>
      </c>
    </row>
    <row r="41" spans="1:6" x14ac:dyDescent="0.25">
      <c r="A41" s="8" t="s">
        <v>36</v>
      </c>
      <c r="B41">
        <v>9</v>
      </c>
      <c r="C41">
        <v>2024</v>
      </c>
      <c r="D41">
        <v>0.35199999999999998</v>
      </c>
      <c r="F41">
        <v>0</v>
      </c>
    </row>
    <row r="42" spans="1:6" x14ac:dyDescent="0.25">
      <c r="A42" s="8" t="s">
        <v>36</v>
      </c>
      <c r="B42">
        <v>10</v>
      </c>
      <c r="C42">
        <v>2024</v>
      </c>
      <c r="D42">
        <v>0.35166666666666663</v>
      </c>
      <c r="F42">
        <v>0</v>
      </c>
    </row>
    <row r="43" spans="1:6" x14ac:dyDescent="0.25">
      <c r="A43" s="8" t="s">
        <v>36</v>
      </c>
      <c r="B43">
        <v>11</v>
      </c>
      <c r="C43">
        <v>2024</v>
      </c>
      <c r="D43">
        <v>0.36366666666666669</v>
      </c>
      <c r="F43">
        <f t="shared" si="0"/>
        <v>1.2000000000000066E-2</v>
      </c>
    </row>
    <row r="44" spans="1:6" x14ac:dyDescent="0.25">
      <c r="A44" s="8" t="s">
        <v>36</v>
      </c>
      <c r="B44">
        <v>12</v>
      </c>
      <c r="C44">
        <v>2024</v>
      </c>
      <c r="D44">
        <v>0.36300000000000004</v>
      </c>
      <c r="F44">
        <v>0</v>
      </c>
    </row>
    <row r="45" spans="1:6" x14ac:dyDescent="0.25">
      <c r="A45" s="8" t="s">
        <v>36</v>
      </c>
      <c r="B45">
        <v>1</v>
      </c>
      <c r="C45">
        <v>2025</v>
      </c>
      <c r="D45">
        <v>0.40933333333333338</v>
      </c>
      <c r="F45">
        <f t="shared" si="0"/>
        <v>4.6333333333333337E-2</v>
      </c>
    </row>
    <row r="46" spans="1:6" x14ac:dyDescent="0.25">
      <c r="A46" s="8" t="s">
        <v>36</v>
      </c>
      <c r="B46">
        <v>2</v>
      </c>
      <c r="C46">
        <v>2025</v>
      </c>
      <c r="D46">
        <v>0.42699999999999994</v>
      </c>
      <c r="F46">
        <f t="shared" si="0"/>
        <v>1.7666666666666553E-2</v>
      </c>
    </row>
    <row r="47" spans="1:6" x14ac:dyDescent="0.25">
      <c r="A47" s="8" t="s">
        <v>36</v>
      </c>
      <c r="B47">
        <v>3</v>
      </c>
      <c r="C47">
        <v>2025</v>
      </c>
      <c r="D47">
        <v>0.436</v>
      </c>
      <c r="F47">
        <f t="shared" si="0"/>
        <v>9.0000000000000635E-3</v>
      </c>
    </row>
    <row r="48" spans="1:6" x14ac:dyDescent="0.25">
      <c r="A48" s="8" t="s">
        <v>36</v>
      </c>
      <c r="B48">
        <v>4</v>
      </c>
      <c r="C48">
        <v>2025</v>
      </c>
      <c r="D48">
        <v>0.46766666666666673</v>
      </c>
      <c r="F48">
        <f t="shared" si="0"/>
        <v>3.1666666666666732E-2</v>
      </c>
    </row>
    <row r="49" spans="1:6" x14ac:dyDescent="0.25">
      <c r="A49" s="8" t="s">
        <v>36</v>
      </c>
      <c r="B49">
        <v>5</v>
      </c>
      <c r="C49">
        <v>2025</v>
      </c>
      <c r="D49">
        <v>0.28866666666666663</v>
      </c>
      <c r="F49">
        <v>0</v>
      </c>
    </row>
    <row r="50" spans="1:6" x14ac:dyDescent="0.25">
      <c r="A50" s="8" t="s">
        <v>37</v>
      </c>
      <c r="B50">
        <v>6</v>
      </c>
      <c r="C50">
        <v>2023</v>
      </c>
      <c r="D50">
        <v>0</v>
      </c>
      <c r="F50">
        <v>0</v>
      </c>
    </row>
    <row r="51" spans="1:6" x14ac:dyDescent="0.25">
      <c r="A51" s="8" t="s">
        <v>37</v>
      </c>
      <c r="B51">
        <v>7</v>
      </c>
      <c r="C51">
        <v>2023</v>
      </c>
      <c r="D51">
        <v>0.10366666666666667</v>
      </c>
      <c r="F51">
        <f t="shared" si="0"/>
        <v>0.10366666666666667</v>
      </c>
    </row>
    <row r="52" spans="1:6" x14ac:dyDescent="0.25">
      <c r="A52" s="8" t="s">
        <v>37</v>
      </c>
      <c r="B52">
        <v>8</v>
      </c>
      <c r="C52">
        <v>2023</v>
      </c>
      <c r="D52">
        <v>0.14833333333333334</v>
      </c>
      <c r="F52">
        <f t="shared" si="0"/>
        <v>4.4666666666666674E-2</v>
      </c>
    </row>
    <row r="53" spans="1:6" x14ac:dyDescent="0.25">
      <c r="A53" s="8" t="s">
        <v>37</v>
      </c>
      <c r="B53">
        <v>9</v>
      </c>
      <c r="C53">
        <v>2023</v>
      </c>
      <c r="D53">
        <v>0.14800000000000002</v>
      </c>
      <c r="F53">
        <v>0</v>
      </c>
    </row>
    <row r="54" spans="1:6" x14ac:dyDescent="0.25">
      <c r="A54" s="8" t="s">
        <v>37</v>
      </c>
      <c r="B54">
        <v>10</v>
      </c>
      <c r="C54">
        <v>2023</v>
      </c>
      <c r="D54">
        <v>0.14833333333333334</v>
      </c>
      <c r="F54">
        <f t="shared" si="0"/>
        <v>3.3333333333332438E-4</v>
      </c>
    </row>
    <row r="55" spans="1:6" x14ac:dyDescent="0.25">
      <c r="A55" s="8" t="s">
        <v>37</v>
      </c>
      <c r="B55">
        <v>11</v>
      </c>
      <c r="C55">
        <v>2023</v>
      </c>
      <c r="D55">
        <v>0.14333333333333334</v>
      </c>
      <c r="F55">
        <v>0</v>
      </c>
    </row>
    <row r="56" spans="1:6" x14ac:dyDescent="0.25">
      <c r="A56" s="8" t="s">
        <v>37</v>
      </c>
      <c r="B56">
        <v>12</v>
      </c>
      <c r="C56">
        <v>2023</v>
      </c>
      <c r="D56">
        <v>0.14899999999999999</v>
      </c>
      <c r="F56">
        <f>D56-D55</f>
        <v>5.6666666666666532E-3</v>
      </c>
    </row>
    <row r="57" spans="1:6" x14ac:dyDescent="0.25">
      <c r="A57" s="8" t="s">
        <v>37</v>
      </c>
      <c r="B57">
        <v>1</v>
      </c>
      <c r="C57">
        <v>2024</v>
      </c>
      <c r="D57">
        <v>0.18333333333333332</v>
      </c>
      <c r="F57">
        <f t="shared" si="0"/>
        <v>3.4333333333333327E-2</v>
      </c>
    </row>
    <row r="58" spans="1:6" x14ac:dyDescent="0.25">
      <c r="A58" s="8" t="s">
        <v>37</v>
      </c>
      <c r="B58">
        <v>2</v>
      </c>
      <c r="C58">
        <v>2024</v>
      </c>
      <c r="D58">
        <v>0.22833333333333333</v>
      </c>
      <c r="F58">
        <f t="shared" si="0"/>
        <v>4.5000000000000012E-2</v>
      </c>
    </row>
    <row r="59" spans="1:6" x14ac:dyDescent="0.25">
      <c r="A59" s="8" t="s">
        <v>37</v>
      </c>
      <c r="B59">
        <v>3</v>
      </c>
      <c r="C59">
        <v>2024</v>
      </c>
      <c r="D59">
        <v>0.35499999999999998</v>
      </c>
      <c r="F59">
        <f t="shared" si="0"/>
        <v>0.12666666666666665</v>
      </c>
    </row>
    <row r="60" spans="1:6" x14ac:dyDescent="0.25">
      <c r="A60" s="8" t="s">
        <v>37</v>
      </c>
      <c r="B60">
        <v>4</v>
      </c>
      <c r="C60">
        <v>2024</v>
      </c>
      <c r="D60">
        <v>0.37733333333333335</v>
      </c>
      <c r="F60">
        <f t="shared" si="0"/>
        <v>2.2333333333333372E-2</v>
      </c>
    </row>
    <row r="61" spans="1:6" x14ac:dyDescent="0.25">
      <c r="A61" s="8" t="s">
        <v>37</v>
      </c>
      <c r="B61">
        <v>5</v>
      </c>
      <c r="C61">
        <v>2024</v>
      </c>
      <c r="D61">
        <v>0.39333333333333337</v>
      </c>
      <c r="F61">
        <f t="shared" si="0"/>
        <v>1.6000000000000014E-2</v>
      </c>
    </row>
    <row r="62" spans="1:6" x14ac:dyDescent="0.25">
      <c r="A62" s="8" t="s">
        <v>37</v>
      </c>
      <c r="B62">
        <v>6</v>
      </c>
      <c r="C62">
        <v>2024</v>
      </c>
      <c r="D62">
        <v>0.39700000000000002</v>
      </c>
      <c r="F62">
        <f t="shared" si="0"/>
        <v>3.6666666666666514E-3</v>
      </c>
    </row>
    <row r="63" spans="1:6" x14ac:dyDescent="0.25">
      <c r="A63" s="8" t="s">
        <v>37</v>
      </c>
      <c r="B63">
        <v>7</v>
      </c>
      <c r="C63">
        <v>2024</v>
      </c>
      <c r="D63">
        <v>0.39666666666666667</v>
      </c>
      <c r="F63">
        <v>0</v>
      </c>
    </row>
    <row r="64" spans="1:6" x14ac:dyDescent="0.25">
      <c r="A64" s="8" t="s">
        <v>37</v>
      </c>
      <c r="B64">
        <v>8</v>
      </c>
      <c r="C64">
        <v>2024</v>
      </c>
      <c r="D64">
        <v>0.39766666666666667</v>
      </c>
      <c r="F64">
        <f t="shared" si="0"/>
        <v>1.0000000000000009E-3</v>
      </c>
    </row>
    <row r="65" spans="1:6" x14ac:dyDescent="0.25">
      <c r="A65" s="8" t="s">
        <v>37</v>
      </c>
      <c r="B65">
        <v>9</v>
      </c>
      <c r="C65">
        <v>2024</v>
      </c>
      <c r="D65">
        <v>0.39333333333333337</v>
      </c>
      <c r="F65">
        <v>0</v>
      </c>
    </row>
    <row r="66" spans="1:6" x14ac:dyDescent="0.25">
      <c r="A66" s="8" t="s">
        <v>37</v>
      </c>
      <c r="B66">
        <v>10</v>
      </c>
      <c r="C66">
        <v>2024</v>
      </c>
      <c r="D66">
        <v>0.39533333333333331</v>
      </c>
      <c r="F66">
        <f t="shared" si="0"/>
        <v>1.9999999999999463E-3</v>
      </c>
    </row>
    <row r="67" spans="1:6" x14ac:dyDescent="0.25">
      <c r="A67" s="8" t="s">
        <v>37</v>
      </c>
      <c r="B67">
        <v>11</v>
      </c>
      <c r="C67">
        <v>2024</v>
      </c>
      <c r="D67">
        <v>0.39566666666666672</v>
      </c>
      <c r="F67">
        <f t="shared" si="0"/>
        <v>3.3333333333340764E-4</v>
      </c>
    </row>
    <row r="68" spans="1:6" x14ac:dyDescent="0.25">
      <c r="A68" s="8" t="s">
        <v>37</v>
      </c>
      <c r="B68">
        <v>12</v>
      </c>
      <c r="C68">
        <v>2024</v>
      </c>
      <c r="D68">
        <v>0.39433333333333331</v>
      </c>
      <c r="F68">
        <v>0</v>
      </c>
    </row>
    <row r="69" spans="1:6" x14ac:dyDescent="0.25">
      <c r="A69" s="8" t="s">
        <v>37</v>
      </c>
      <c r="B69">
        <v>1</v>
      </c>
      <c r="C69">
        <v>2025</v>
      </c>
      <c r="D69">
        <v>0.39433333333333331</v>
      </c>
      <c r="F69">
        <f t="shared" ref="F69:F73" si="1">D69-D68</f>
        <v>0</v>
      </c>
    </row>
    <row r="70" spans="1:6" x14ac:dyDescent="0.25">
      <c r="A70" s="8" t="s">
        <v>37</v>
      </c>
      <c r="B70">
        <v>2</v>
      </c>
      <c r="C70">
        <v>2025</v>
      </c>
      <c r="D70">
        <v>0.41166666666666663</v>
      </c>
      <c r="F70">
        <f t="shared" si="1"/>
        <v>1.7333333333333312E-2</v>
      </c>
    </row>
    <row r="71" spans="1:6" x14ac:dyDescent="0.25">
      <c r="A71" s="8" t="s">
        <v>37</v>
      </c>
      <c r="B71">
        <v>3</v>
      </c>
      <c r="C71">
        <v>2025</v>
      </c>
      <c r="D71">
        <v>0.42</v>
      </c>
      <c r="F71">
        <f t="shared" si="1"/>
        <v>8.3333333333333592E-3</v>
      </c>
    </row>
    <row r="72" spans="1:6" x14ac:dyDescent="0.25">
      <c r="A72" s="8" t="s">
        <v>37</v>
      </c>
      <c r="B72">
        <v>4</v>
      </c>
      <c r="C72">
        <v>2025</v>
      </c>
      <c r="D72">
        <v>0.44566666666666666</v>
      </c>
      <c r="F72">
        <f t="shared" si="1"/>
        <v>2.5666666666666671E-2</v>
      </c>
    </row>
    <row r="73" spans="1:6" x14ac:dyDescent="0.25">
      <c r="A73" s="8" t="s">
        <v>37</v>
      </c>
      <c r="B73">
        <v>5</v>
      </c>
      <c r="C73">
        <v>2025</v>
      </c>
      <c r="D73">
        <v>0.5056666666666666</v>
      </c>
      <c r="F73">
        <f t="shared" si="1"/>
        <v>5.9999999999999942E-2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PSup R5</vt:lpstr>
      <vt:lpstr>PSup R4</vt:lpstr>
      <vt:lpstr>GRAFICO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Luiz Diego Vidal Santos</cp:lastModifiedBy>
  <dcterms:modified xsi:type="dcterms:W3CDTF">2025-06-26T19:13:09Z</dcterms:modified>
</cp:coreProperties>
</file>